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rthu\OneDrive\Documentos\EXCEL\"/>
    </mc:Choice>
  </mc:AlternateContent>
  <bookViews>
    <workbookView minimized="1" xWindow="-120" yWindow="-120" windowWidth="20736" windowHeight="11160" activeTab="2"/>
  </bookViews>
  <sheets>
    <sheet name="DATABASE" sheetId="4" r:id="rId1"/>
    <sheet name="TABELAS DINÂMICAS" sheetId="6" r:id="rId2"/>
    <sheet name="dashboard" sheetId="9" r:id="rId3"/>
  </sheets>
  <definedNames>
    <definedName name="SegmentaçãodeDados_Data">#N/A</definedName>
    <definedName name="SegmentaçãodeDados_Mês">#N/A</definedName>
    <definedName name="SegmentaçãodeDados_Produto">#N/A</definedName>
    <definedName name="SegmentaçãodeDados_Vendedor">#N/A</definedName>
  </definedNames>
  <calcPr calcId="152511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13" i="4" l="1"/>
  <c r="S1012" i="4"/>
  <c r="S1011" i="4"/>
  <c r="S1010" i="4"/>
  <c r="S1009" i="4"/>
  <c r="S1008" i="4"/>
  <c r="S1007" i="4"/>
  <c r="S1006" i="4"/>
  <c r="S1005" i="4"/>
  <c r="S1004" i="4"/>
  <c r="S1003" i="4"/>
  <c r="S1002" i="4"/>
  <c r="S1001" i="4"/>
  <c r="S1000" i="4"/>
  <c r="S999" i="4"/>
  <c r="S998" i="4"/>
  <c r="S997" i="4"/>
  <c r="S996" i="4"/>
  <c r="S995" i="4"/>
  <c r="S994" i="4"/>
  <c r="S993" i="4"/>
  <c r="S992" i="4"/>
  <c r="S991" i="4"/>
  <c r="S990" i="4"/>
  <c r="S989" i="4"/>
  <c r="S988" i="4"/>
  <c r="S987" i="4"/>
  <c r="S986" i="4"/>
  <c r="S985" i="4"/>
  <c r="S984" i="4"/>
  <c r="S983" i="4"/>
  <c r="S982" i="4"/>
  <c r="S981" i="4"/>
  <c r="S980" i="4"/>
  <c r="S979" i="4"/>
  <c r="S978" i="4"/>
  <c r="S977" i="4"/>
  <c r="S976" i="4"/>
  <c r="S975" i="4"/>
  <c r="S974" i="4"/>
  <c r="S973" i="4"/>
  <c r="S972" i="4"/>
  <c r="S971" i="4"/>
  <c r="S970" i="4"/>
  <c r="S969" i="4"/>
  <c r="S968" i="4"/>
  <c r="S967" i="4"/>
  <c r="S966" i="4"/>
  <c r="S965" i="4"/>
  <c r="S964" i="4"/>
  <c r="S963" i="4"/>
  <c r="S962" i="4"/>
  <c r="S961" i="4"/>
  <c r="S960" i="4"/>
  <c r="S959" i="4"/>
  <c r="S958" i="4"/>
  <c r="S957" i="4"/>
  <c r="S956" i="4"/>
  <c r="S955" i="4"/>
  <c r="S954" i="4"/>
  <c r="S953" i="4"/>
  <c r="S952" i="4"/>
  <c r="S951" i="4"/>
  <c r="S950" i="4"/>
  <c r="S949" i="4"/>
  <c r="S948" i="4"/>
  <c r="S947" i="4"/>
  <c r="S946" i="4"/>
  <c r="S945" i="4"/>
  <c r="S944" i="4"/>
  <c r="S943" i="4"/>
  <c r="S942" i="4"/>
  <c r="S941" i="4"/>
  <c r="S940" i="4"/>
  <c r="S939" i="4"/>
  <c r="S938" i="4"/>
  <c r="S937" i="4"/>
  <c r="S936" i="4"/>
  <c r="S935" i="4"/>
  <c r="S934" i="4"/>
  <c r="S933" i="4"/>
  <c r="S932" i="4"/>
  <c r="S931" i="4"/>
  <c r="S930" i="4"/>
  <c r="S929" i="4"/>
  <c r="S928" i="4"/>
  <c r="S927" i="4"/>
  <c r="S926" i="4"/>
  <c r="S925" i="4"/>
  <c r="S924" i="4"/>
  <c r="S923" i="4"/>
  <c r="S922" i="4"/>
  <c r="S921" i="4"/>
  <c r="S920" i="4"/>
  <c r="S919" i="4"/>
  <c r="S918" i="4"/>
  <c r="S917" i="4"/>
  <c r="S916" i="4"/>
  <c r="S915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S855" i="4"/>
  <c r="S854" i="4"/>
  <c r="S853" i="4"/>
  <c r="S852" i="4"/>
  <c r="S851" i="4"/>
  <c r="S850" i="4"/>
  <c r="S849" i="4"/>
  <c r="S848" i="4"/>
  <c r="S847" i="4"/>
  <c r="S846" i="4"/>
  <c r="S845" i="4"/>
  <c r="S844" i="4"/>
  <c r="S843" i="4"/>
  <c r="S842" i="4"/>
  <c r="S841" i="4"/>
  <c r="S840" i="4"/>
  <c r="S839" i="4"/>
  <c r="S838" i="4"/>
  <c r="S837" i="4"/>
  <c r="S836" i="4"/>
  <c r="S835" i="4"/>
  <c r="S834" i="4"/>
  <c r="S833" i="4"/>
  <c r="S832" i="4"/>
  <c r="S831" i="4"/>
  <c r="S830" i="4"/>
  <c r="S829" i="4"/>
  <c r="S828" i="4"/>
  <c r="S827" i="4"/>
  <c r="S826" i="4"/>
  <c r="S825" i="4"/>
  <c r="S824" i="4"/>
  <c r="S823" i="4"/>
  <c r="S822" i="4"/>
  <c r="S821" i="4"/>
  <c r="S820" i="4"/>
  <c r="S819" i="4"/>
  <c r="S818" i="4"/>
  <c r="S817" i="4"/>
  <c r="S816" i="4"/>
  <c r="S815" i="4"/>
  <c r="S814" i="4"/>
  <c r="S813" i="4"/>
  <c r="S812" i="4"/>
  <c r="S811" i="4"/>
  <c r="S810" i="4"/>
  <c r="S809" i="4"/>
  <c r="S808" i="4"/>
  <c r="S807" i="4"/>
  <c r="S806" i="4"/>
  <c r="S805" i="4"/>
  <c r="S804" i="4"/>
  <c r="S803" i="4"/>
  <c r="S802" i="4"/>
  <c r="S801" i="4"/>
  <c r="S800" i="4"/>
  <c r="S799" i="4"/>
  <c r="S798" i="4"/>
  <c r="S797" i="4"/>
  <c r="S796" i="4"/>
  <c r="S795" i="4"/>
  <c r="S794" i="4"/>
  <c r="S793" i="4"/>
  <c r="S792" i="4"/>
  <c r="S791" i="4"/>
  <c r="S790" i="4"/>
  <c r="S789" i="4"/>
  <c r="S788" i="4"/>
  <c r="S787" i="4"/>
  <c r="S786" i="4"/>
  <c r="S785" i="4"/>
  <c r="S784" i="4"/>
  <c r="S783" i="4"/>
  <c r="S782" i="4"/>
  <c r="S781" i="4"/>
  <c r="S780" i="4"/>
  <c r="S779" i="4"/>
  <c r="S778" i="4"/>
  <c r="S777" i="4"/>
  <c r="S776" i="4"/>
  <c r="S775" i="4"/>
  <c r="S774" i="4"/>
  <c r="S773" i="4"/>
  <c r="S772" i="4"/>
  <c r="S771" i="4"/>
  <c r="S770" i="4"/>
  <c r="S769" i="4"/>
  <c r="S768" i="4"/>
  <c r="S767" i="4"/>
  <c r="S766" i="4"/>
  <c r="S765" i="4"/>
  <c r="S764" i="4"/>
  <c r="S763" i="4"/>
  <c r="S762" i="4"/>
  <c r="S761" i="4"/>
  <c r="S760" i="4"/>
  <c r="S759" i="4"/>
  <c r="S758" i="4"/>
  <c r="S757" i="4"/>
  <c r="S756" i="4"/>
  <c r="S755" i="4"/>
  <c r="S754" i="4"/>
  <c r="S753" i="4"/>
  <c r="S752" i="4"/>
  <c r="S751" i="4"/>
  <c r="S750" i="4"/>
  <c r="S749" i="4"/>
  <c r="S748" i="4"/>
  <c r="S747" i="4"/>
  <c r="S746" i="4"/>
  <c r="S745" i="4"/>
  <c r="S744" i="4"/>
  <c r="S743" i="4"/>
  <c r="S742" i="4"/>
  <c r="S741" i="4"/>
  <c r="S740" i="4"/>
  <c r="S739" i="4"/>
  <c r="S738" i="4"/>
  <c r="S737" i="4"/>
  <c r="S736" i="4"/>
  <c r="S735" i="4"/>
  <c r="S734" i="4"/>
  <c r="S733" i="4"/>
  <c r="S732" i="4"/>
  <c r="S731" i="4"/>
  <c r="S730" i="4"/>
  <c r="S729" i="4"/>
  <c r="S728" i="4"/>
  <c r="S727" i="4"/>
  <c r="S726" i="4"/>
  <c r="S725" i="4"/>
  <c r="S724" i="4"/>
  <c r="S723" i="4"/>
  <c r="S722" i="4"/>
  <c r="S721" i="4"/>
  <c r="S720" i="4"/>
  <c r="S719" i="4"/>
  <c r="S718" i="4"/>
  <c r="S717" i="4"/>
  <c r="S716" i="4"/>
  <c r="S715" i="4"/>
  <c r="S714" i="4"/>
  <c r="S713" i="4"/>
  <c r="S712" i="4"/>
  <c r="S711" i="4"/>
  <c r="S710" i="4"/>
  <c r="S709" i="4"/>
  <c r="S708" i="4"/>
  <c r="S707" i="4"/>
  <c r="S706" i="4"/>
  <c r="S705" i="4"/>
  <c r="S704" i="4"/>
  <c r="S703" i="4"/>
  <c r="S702" i="4"/>
  <c r="S701" i="4"/>
  <c r="S700" i="4"/>
  <c r="S699" i="4"/>
  <c r="S698" i="4"/>
  <c r="S697" i="4"/>
  <c r="S696" i="4"/>
  <c r="S695" i="4"/>
  <c r="S694" i="4"/>
  <c r="S693" i="4"/>
  <c r="S692" i="4"/>
  <c r="S691" i="4"/>
  <c r="S690" i="4"/>
  <c r="S689" i="4"/>
  <c r="S688" i="4"/>
  <c r="S687" i="4"/>
  <c r="S686" i="4"/>
  <c r="S685" i="4"/>
  <c r="S684" i="4"/>
  <c r="S683" i="4"/>
  <c r="S682" i="4"/>
  <c r="S681" i="4"/>
  <c r="S680" i="4"/>
  <c r="S679" i="4"/>
  <c r="S678" i="4"/>
  <c r="S677" i="4"/>
  <c r="S676" i="4"/>
  <c r="S675" i="4"/>
  <c r="S674" i="4"/>
  <c r="S673" i="4"/>
  <c r="S672" i="4"/>
  <c r="S671" i="4"/>
  <c r="S670" i="4"/>
  <c r="S669" i="4"/>
  <c r="S668" i="4"/>
  <c r="S667" i="4"/>
  <c r="S666" i="4"/>
  <c r="S665" i="4"/>
  <c r="S664" i="4"/>
  <c r="S663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S633" i="4"/>
  <c r="S632" i="4"/>
  <c r="S631" i="4"/>
  <c r="S630" i="4"/>
  <c r="S629" i="4"/>
  <c r="S628" i="4"/>
  <c r="S627" i="4"/>
  <c r="S626" i="4"/>
  <c r="S625" i="4"/>
  <c r="S624" i="4"/>
  <c r="S623" i="4"/>
  <c r="S622" i="4"/>
  <c r="S621" i="4"/>
  <c r="S620" i="4"/>
  <c r="S619" i="4"/>
  <c r="S618" i="4"/>
  <c r="S617" i="4"/>
  <c r="S616" i="4"/>
  <c r="S615" i="4"/>
  <c r="S614" i="4"/>
  <c r="S613" i="4"/>
  <c r="S612" i="4"/>
  <c r="S611" i="4"/>
  <c r="S610" i="4"/>
  <c r="S609" i="4"/>
  <c r="S608" i="4"/>
  <c r="S607" i="4"/>
  <c r="S606" i="4"/>
  <c r="S605" i="4"/>
  <c r="S604" i="4"/>
  <c r="S603" i="4"/>
  <c r="S602" i="4"/>
  <c r="S601" i="4"/>
  <c r="S600" i="4"/>
  <c r="S599" i="4"/>
  <c r="S598" i="4"/>
  <c r="S597" i="4"/>
  <c r="S596" i="4"/>
  <c r="S595" i="4"/>
  <c r="S594" i="4"/>
  <c r="S593" i="4"/>
  <c r="S592" i="4"/>
  <c r="S591" i="4"/>
  <c r="S590" i="4"/>
  <c r="S589" i="4"/>
  <c r="S588" i="4"/>
  <c r="S587" i="4"/>
  <c r="S586" i="4"/>
  <c r="S585" i="4"/>
  <c r="S584" i="4"/>
  <c r="S583" i="4"/>
  <c r="S582" i="4"/>
  <c r="S581" i="4"/>
  <c r="S580" i="4"/>
  <c r="S579" i="4"/>
  <c r="S578" i="4"/>
  <c r="S577" i="4"/>
  <c r="S576" i="4"/>
  <c r="S575" i="4"/>
  <c r="S574" i="4"/>
  <c r="S573" i="4"/>
  <c r="S572" i="4"/>
  <c r="S571" i="4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S544" i="4"/>
  <c r="S543" i="4"/>
  <c r="S542" i="4"/>
  <c r="S541" i="4"/>
  <c r="S540" i="4"/>
  <c r="S539" i="4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S518" i="4"/>
  <c r="S517" i="4"/>
  <c r="S516" i="4"/>
  <c r="S515" i="4"/>
  <c r="S514" i="4"/>
  <c r="S513" i="4"/>
  <c r="S512" i="4"/>
  <c r="S511" i="4"/>
  <c r="S510" i="4"/>
  <c r="S509" i="4"/>
  <c r="S508" i="4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</calcChain>
</file>

<file path=xl/sharedStrings.xml><?xml version="1.0" encoding="utf-8"?>
<sst xmlns="http://schemas.openxmlformats.org/spreadsheetml/2006/main" count="3092" uniqueCount="126">
  <si>
    <t>Seq.</t>
  </si>
  <si>
    <t>Data</t>
  </si>
  <si>
    <t>Cód. Cliente</t>
  </si>
  <si>
    <t>Cidade</t>
  </si>
  <si>
    <t>Qtde.</t>
  </si>
  <si>
    <t>Preço Unitário</t>
  </si>
  <si>
    <t>Valor Bruto</t>
  </si>
  <si>
    <t>% Desconto</t>
  </si>
  <si>
    <t>Valor Venda</t>
  </si>
  <si>
    <t>Vencimento</t>
  </si>
  <si>
    <t>Data Pagamento</t>
  </si>
  <si>
    <t>Documento</t>
  </si>
  <si>
    <t>Canal de Venda</t>
  </si>
  <si>
    <t>Vendedor</t>
  </si>
  <si>
    <t>% Comis.</t>
  </si>
  <si>
    <t>Comissão</t>
  </si>
  <si>
    <t>Tipo de Pagamento</t>
  </si>
  <si>
    <t>Paranavaí</t>
  </si>
  <si>
    <t>Rebeca Melo</t>
  </si>
  <si>
    <t>São Luís</t>
  </si>
  <si>
    <t>Ryan Azevedo</t>
  </si>
  <si>
    <t>Recife</t>
  </si>
  <si>
    <t>Eunápolis</t>
  </si>
  <si>
    <t>Larissa Martins</t>
  </si>
  <si>
    <t>Gurupi</t>
  </si>
  <si>
    <t>Marisa Alves</t>
  </si>
  <si>
    <t>Salvador</t>
  </si>
  <si>
    <t>Carolina Cavalcanti</t>
  </si>
  <si>
    <t>Laranjeiras do Sul</t>
  </si>
  <si>
    <t>Governador Valadares</t>
  </si>
  <si>
    <t>Isabella Cavalcanti</t>
  </si>
  <si>
    <t>São Paulo</t>
  </si>
  <si>
    <t>São Bernardo do Campo</t>
  </si>
  <si>
    <t>Fortaleza</t>
  </si>
  <si>
    <t>Santana de Parnaíba</t>
  </si>
  <si>
    <t>Ana Fernandes</t>
  </si>
  <si>
    <t>Manaus</t>
  </si>
  <si>
    <t>São José do Rio Preto</t>
  </si>
  <si>
    <t>Melissa Rocha</t>
  </si>
  <si>
    <t>Arcoverde</t>
  </si>
  <si>
    <t>Goiânia</t>
  </si>
  <si>
    <t>Núcleo Bandeirante</t>
  </si>
  <si>
    <t>Cauã Barros</t>
  </si>
  <si>
    <t>Avaré</t>
  </si>
  <si>
    <t>Petrópolis</t>
  </si>
  <si>
    <t>Piraquara</t>
  </si>
  <si>
    <t>Brusque</t>
  </si>
  <si>
    <t>Cachoeiro de Itapemirim</t>
  </si>
  <si>
    <t>Guarulhos</t>
  </si>
  <si>
    <t>Itaquaquecetuba</t>
  </si>
  <si>
    <t>Belém</t>
  </si>
  <si>
    <t>Ariquemes</t>
  </si>
  <si>
    <t>Sorocaba</t>
  </si>
  <si>
    <t>Franca</t>
  </si>
  <si>
    <t>Rio de Janeiro</t>
  </si>
  <si>
    <t>São João Del Rei</t>
  </si>
  <si>
    <t>Beatrice Alves</t>
  </si>
  <si>
    <t>Campo Largo</t>
  </si>
  <si>
    <t>Atibaia</t>
  </si>
  <si>
    <t>Natal</t>
  </si>
  <si>
    <t>Belo Horizonte</t>
  </si>
  <si>
    <t>Viamão</t>
  </si>
  <si>
    <t>Contagem</t>
  </si>
  <si>
    <t>Ituiutaba</t>
  </si>
  <si>
    <t>Vila Velha</t>
  </si>
  <si>
    <t>Juazeiro</t>
  </si>
  <si>
    <t>São Gonçalo</t>
  </si>
  <si>
    <t>Catanduva</t>
  </si>
  <si>
    <t>Patos de Minas</t>
  </si>
  <si>
    <t>Serra</t>
  </si>
  <si>
    <t>Bagé</t>
  </si>
  <si>
    <t>Foz do Iguaçu</t>
  </si>
  <si>
    <t>Juiz de Fora</t>
  </si>
  <si>
    <t>João Pessoa</t>
  </si>
  <si>
    <t>Vitória</t>
  </si>
  <si>
    <t>Jaú</t>
  </si>
  <si>
    <t>Campinas</t>
  </si>
  <si>
    <t>Jataí</t>
  </si>
  <si>
    <t>Barbacena</t>
  </si>
  <si>
    <t>Mauá</t>
  </si>
  <si>
    <t>Santos</t>
  </si>
  <si>
    <t>Curitiba</t>
  </si>
  <si>
    <t>Araçatuba</t>
  </si>
  <si>
    <t>Vitória da Conquista</t>
  </si>
  <si>
    <t>Garanhuns</t>
  </si>
  <si>
    <t>Teófilo Otoni</t>
  </si>
  <si>
    <t>Dourados</t>
  </si>
  <si>
    <t>Queimados</t>
  </si>
  <si>
    <t>Praia Grande</t>
  </si>
  <si>
    <t>Cabo de Santo Agostinho</t>
  </si>
  <si>
    <t>Duque de Caxias</t>
  </si>
  <si>
    <t>Coronel Fabriciano</t>
  </si>
  <si>
    <t>Santa Bárbara D'Oeste</t>
  </si>
  <si>
    <t>Barra do Piraí</t>
  </si>
  <si>
    <t>Mês</t>
  </si>
  <si>
    <t>Boné</t>
  </si>
  <si>
    <t>Camisa social</t>
  </si>
  <si>
    <t>Bermuda</t>
  </si>
  <si>
    <t>Sapato</t>
  </si>
  <si>
    <t>Chinela</t>
  </si>
  <si>
    <t>Tênis</t>
  </si>
  <si>
    <t>Blusa</t>
  </si>
  <si>
    <t>Casaco</t>
  </si>
  <si>
    <t>Moletom</t>
  </si>
  <si>
    <t>Cueca</t>
  </si>
  <si>
    <t>Produto</t>
  </si>
  <si>
    <t>Rótulos de Linha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</si>
  <si>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</si>
  <si>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</si>
  <si>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</si>
  <si>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</si>
  <si>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</si>
  <si>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</si>
  <si>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</si>
  <si>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</si>
  <si>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</si>
  <si>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</si>
  <si>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</si>
  <si>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</si>
  <si>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Geral</t>
  </si>
  <si>
    <t>Soma de Valor Venda</t>
  </si>
  <si>
    <t>Média de % Desconto</t>
  </si>
  <si>
    <t>Soma de Comissão</t>
  </si>
  <si>
    <t>Soma de Qtde.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</si>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</sst>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0" applyNumberFormat="1"/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2" borderId="0" xfId="0" applyFill="1"/>
  </cellXfs>
  <cellStyles count="3">
    <cellStyle name="Moeda" xfId="1" builtinId="4"/>
    <cellStyle name="Normal" xfId="0" builtinId="0"/>
    <cellStyle name="Porcentagem" xfId="2" builtinId="5"/>
  </cellStyles>
  <dxfs count="37">
    <dxf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center" readingOrder="0"/>
    </dxf>
    <dxf>
      <alignment vertical="bottom" readingOrder="0"/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horizontal="center" readingOrder="0"/>
    </dxf>
    <dxf>
      <alignment vertical="bottom" readingOrder="0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bottom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4" formatCode="0.00%"/>
    </dxf>
    <dxf>
      <numFmt numFmtId="14" formatCode="0.00%"/>
    </dxf>
    <dxf>
      <alignment horizontal="center" readingOrder="0"/>
    </dxf>
    <dxf>
      <alignment vertical="bottom" readingOrder="0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bottom" readingOrder="0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/>
        <i val="0"/>
        <color theme="0"/>
      </font>
      <fill>
        <patternFill>
          <bgColor theme="8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8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1 2" pivot="0" table="0" count="10">
      <tableStyleElement type="wholeTable" dxfId="36"/>
      <tableStyleElement type="headerRow" dxfId="35"/>
    </tableStyle>
    <tableStyle name="SlicerStyleLight1 2 2" pivot="0" table="0" count="10">
      <tableStyleElement type="wholeTable" dxfId="34"/>
      <tableStyleElement type="headerRow" dxfId="33"/>
    </tableStyle>
  </tableStyles>
  <colors>
    <mruColors>
      <color rgb="FF99FF99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theme="2" tint="-9.9703970458082825E-2"/>
              <bgColor theme="4" tint="-0.49998474074526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2" tint="-9.9917600024414813E-2"/>
              <bgColor theme="2" tint="-9.9948118533890809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de vendas.xlsm]TABELAS DINÂMICAS!Tabela dinâmica1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8575" cap="rnd">
            <a:gradFill>
              <a:gsLst>
                <a:gs pos="0">
                  <a:schemeClr val="accent1">
                    <a:lumMod val="60000"/>
                    <a:lumOff val="40000"/>
                  </a:schemeClr>
                </a:gs>
                <a:gs pos="100000">
                  <a:schemeClr val="accent1"/>
                </a:gs>
              </a:gsLst>
              <a:lin ang="5400000" scaled="1"/>
            </a:gradFill>
            <a:round/>
          </a:ln>
          <a:effectLst>
            <a:softEdge rad="0"/>
          </a:effectLst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>
                <a:gsLst>
                  <a:gs pos="0">
                    <a:schemeClr val="accent1">
                      <a:lumMod val="60000"/>
                      <a:lumOff val="40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>
              <a:softEdge rad="0"/>
            </a:effectLst>
          </c:spPr>
          <c:marker>
            <c:symbol val="none"/>
          </c:marker>
          <c:cat>
            <c:strRef>
              <c:f>'TABELAS DINÂMICAS'!$A$4:$A$16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DINÂMICAS'!$B$4:$B$16</c:f>
              <c:numCache>
                <c:formatCode>_("R$"* #,##0.00_);_("R$"* \(#,##0.00\);_("R$"* "-"??_);_(@_)</c:formatCode>
                <c:ptCount val="12"/>
                <c:pt idx="0">
                  <c:v>300308.44000000006</c:v>
                </c:pt>
                <c:pt idx="1">
                  <c:v>305617.22999999986</c:v>
                </c:pt>
                <c:pt idx="2">
                  <c:v>378545.78</c:v>
                </c:pt>
                <c:pt idx="3">
                  <c:v>295686.58000000013</c:v>
                </c:pt>
                <c:pt idx="4">
                  <c:v>368532.49000000017</c:v>
                </c:pt>
                <c:pt idx="5">
                  <c:v>331506.55999999994</c:v>
                </c:pt>
                <c:pt idx="6">
                  <c:v>136091.89000000001</c:v>
                </c:pt>
                <c:pt idx="7">
                  <c:v>203928.84</c:v>
                </c:pt>
                <c:pt idx="8">
                  <c:v>142342.91999999998</c:v>
                </c:pt>
                <c:pt idx="9">
                  <c:v>160146.56</c:v>
                </c:pt>
                <c:pt idx="10">
                  <c:v>146667.71000000002</c:v>
                </c:pt>
                <c:pt idx="11">
                  <c:v>175672.33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594232"/>
        <c:axId val="351594624"/>
      </c:lineChart>
      <c:catAx>
        <c:axId val="351594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594624"/>
        <c:crosses val="autoZero"/>
        <c:auto val="1"/>
        <c:lblAlgn val="ctr"/>
        <c:lblOffset val="100"/>
        <c:noMultiLvlLbl val="0"/>
      </c:catAx>
      <c:valAx>
        <c:axId val="351594624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59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de vendas.xlsm]TABELAS DINÂMICAS!Tabela dinâmica3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cap="rnd"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cap="rnd">
              <a:noFill/>
            </a:ln>
            <a:effectLst/>
          </c:spPr>
          <c:invertIfNegative val="0"/>
          <c:cat>
            <c:strRef>
              <c:f>'TABELAS DINÂMICAS'!$A$19:$A$29</c:f>
              <c:strCache>
                <c:ptCount val="10"/>
                <c:pt idx="0">
                  <c:v>Bermuda</c:v>
                </c:pt>
                <c:pt idx="1">
                  <c:v>Blusa</c:v>
                </c:pt>
                <c:pt idx="2">
                  <c:v>Boné</c:v>
                </c:pt>
                <c:pt idx="3">
                  <c:v>Camisa social</c:v>
                </c:pt>
                <c:pt idx="4">
                  <c:v>Casaco</c:v>
                </c:pt>
                <c:pt idx="5">
                  <c:v>Chinela</c:v>
                </c:pt>
                <c:pt idx="6">
                  <c:v>Cueca</c:v>
                </c:pt>
                <c:pt idx="7">
                  <c:v>Moletom</c:v>
                </c:pt>
                <c:pt idx="8">
                  <c:v>Sapato</c:v>
                </c:pt>
                <c:pt idx="9">
                  <c:v>Tênis</c:v>
                </c:pt>
              </c:strCache>
            </c:strRef>
          </c:cat>
          <c:val>
            <c:numRef>
              <c:f>'TABELAS DINÂMICAS'!$B$19:$B$29</c:f>
              <c:numCache>
                <c:formatCode>_("R$"* #,##0.00_);_("R$"* \(#,##0.00\);_("R$"* "-"??_);_(@_)</c:formatCode>
                <c:ptCount val="10"/>
                <c:pt idx="0">
                  <c:v>361531.02</c:v>
                </c:pt>
                <c:pt idx="1">
                  <c:v>181187.03999999995</c:v>
                </c:pt>
                <c:pt idx="2">
                  <c:v>419204.03999999986</c:v>
                </c:pt>
                <c:pt idx="3">
                  <c:v>399412.58</c:v>
                </c:pt>
                <c:pt idx="4">
                  <c:v>157255.49</c:v>
                </c:pt>
                <c:pt idx="5">
                  <c:v>395339.79999999987</c:v>
                </c:pt>
                <c:pt idx="6">
                  <c:v>227677.44000000006</c:v>
                </c:pt>
                <c:pt idx="7">
                  <c:v>248672.75000000006</c:v>
                </c:pt>
                <c:pt idx="8">
                  <c:v>381282.59000000008</c:v>
                </c:pt>
                <c:pt idx="9">
                  <c:v>173484.58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1597368"/>
        <c:axId val="351595016"/>
      </c:barChart>
      <c:catAx>
        <c:axId val="351597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595016"/>
        <c:crosses val="autoZero"/>
        <c:auto val="1"/>
        <c:lblAlgn val="ctr"/>
        <c:lblOffset val="100"/>
        <c:noMultiLvlLbl val="0"/>
      </c:catAx>
      <c:valAx>
        <c:axId val="351595016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59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7</xdr:row>
      <xdr:rowOff>30480</xdr:rowOff>
    </xdr:from>
    <xdr:to>
      <xdr:col>23</xdr:col>
      <xdr:colOff>68580</xdr:colOff>
      <xdr:row>30</xdr:row>
      <xdr:rowOff>0</xdr:rowOff>
    </xdr:to>
    <xdr:sp macro="" textlink="">
      <xdr:nvSpPr>
        <xdr:cNvPr id="6" name="Retângulo de cantos arredondados 5"/>
        <xdr:cNvSpPr/>
      </xdr:nvSpPr>
      <xdr:spPr>
        <a:xfrm>
          <a:off x="137160" y="1310640"/>
          <a:ext cx="13952220" cy="4175760"/>
        </a:xfrm>
        <a:prstGeom prst="roundRect">
          <a:avLst>
            <a:gd name="adj" fmla="val 5325"/>
          </a:avLst>
        </a:prstGeom>
        <a:solidFill>
          <a:schemeClr val="accent5">
            <a:lumMod val="75000"/>
          </a:schemeClr>
        </a:solidFill>
        <a:ln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137160</xdr:colOff>
      <xdr:row>0</xdr:row>
      <xdr:rowOff>129540</xdr:rowOff>
    </xdr:from>
    <xdr:to>
      <xdr:col>23</xdr:col>
      <xdr:colOff>68580</xdr:colOff>
      <xdr:row>6</xdr:row>
      <xdr:rowOff>160020</xdr:rowOff>
    </xdr:to>
    <xdr:sp macro="" textlink="">
      <xdr:nvSpPr>
        <xdr:cNvPr id="2" name="Retângulo de cantos arredondados 1"/>
        <xdr:cNvSpPr/>
      </xdr:nvSpPr>
      <xdr:spPr>
        <a:xfrm>
          <a:off x="137160" y="129540"/>
          <a:ext cx="13952220" cy="112776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VENDAS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243840</xdr:colOff>
      <xdr:row>9</xdr:row>
      <xdr:rowOff>167639</xdr:rowOff>
    </xdr:from>
    <xdr:to>
      <xdr:col>3</xdr:col>
      <xdr:colOff>243840</xdr:colOff>
      <xdr:row>27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" y="1813559"/>
              <a:ext cx="1828800" cy="31546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579120</xdr:colOff>
      <xdr:row>1</xdr:row>
      <xdr:rowOff>7619</xdr:rowOff>
    </xdr:from>
    <xdr:to>
      <xdr:col>10</xdr:col>
      <xdr:colOff>236220</xdr:colOff>
      <xdr:row>6</xdr:row>
      <xdr:rowOff>45719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6720" y="190499"/>
              <a:ext cx="20955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510540</xdr:colOff>
      <xdr:row>1</xdr:row>
      <xdr:rowOff>30479</xdr:rowOff>
    </xdr:from>
    <xdr:to>
      <xdr:col>22</xdr:col>
      <xdr:colOff>495300</xdr:colOff>
      <xdr:row>6</xdr:row>
      <xdr:rowOff>22860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06540" y="213359"/>
              <a:ext cx="7299960" cy="9067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502920</xdr:colOff>
      <xdr:row>10</xdr:row>
      <xdr:rowOff>22860</xdr:rowOff>
    </xdr:from>
    <xdr:to>
      <xdr:col>22</xdr:col>
      <xdr:colOff>502920</xdr:colOff>
      <xdr:row>27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du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85320" y="1851660"/>
              <a:ext cx="1828800" cy="3139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266700</xdr:colOff>
      <xdr:row>7</xdr:row>
      <xdr:rowOff>163830</xdr:rowOff>
    </xdr:from>
    <xdr:to>
      <xdr:col>7</xdr:col>
      <xdr:colOff>175260</xdr:colOff>
      <xdr:row>12</xdr:row>
      <xdr:rowOff>163830</xdr:rowOff>
    </xdr:to>
    <xdr:grpSp>
      <xdr:nvGrpSpPr>
        <xdr:cNvPr id="12" name="Grupo 11"/>
        <xdr:cNvGrpSpPr/>
      </xdr:nvGrpSpPr>
      <xdr:grpSpPr>
        <a:xfrm>
          <a:off x="2095500" y="1443990"/>
          <a:ext cx="2346960" cy="914400"/>
          <a:chOff x="2156460" y="1516380"/>
          <a:chExt cx="2346960" cy="914400"/>
        </a:xfrm>
      </xdr:grpSpPr>
      <xdr:sp macro="" textlink="'TABELAS DINÂMICAS'!D4">
        <xdr:nvSpPr>
          <xdr:cNvPr id="8" name="Retângulo de cantos arredondados 7"/>
          <xdr:cNvSpPr/>
        </xdr:nvSpPr>
        <xdr:spPr>
          <a:xfrm>
            <a:off x="2156460" y="1516380"/>
            <a:ext cx="2346960" cy="914400"/>
          </a:xfrm>
          <a:prstGeom prst="roundRect">
            <a:avLst/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12C4568F-0445-43DA-BC26-C0E385056912}" type="TxLink">
              <a:rPr lang="en-US" sz="2000" b="1" i="0" u="none" strike="noStrike">
                <a:solidFill>
                  <a:schemeClr val="bg2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pPr algn="ctr"/>
              <a:t> R$ 309.174,45 </a:t>
            </a:fld>
            <a:endParaRPr lang="pt-BR" sz="2000" b="1">
              <a:solidFill>
                <a:schemeClr val="bg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9" name="CaixaDeTexto 8"/>
          <xdr:cNvSpPr txBox="1"/>
        </xdr:nvSpPr>
        <xdr:spPr>
          <a:xfrm>
            <a:off x="2362200" y="1638300"/>
            <a:ext cx="198120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r>
              <a:rPr lang="pt-BR" sz="1800" b="1">
                <a:solidFill>
                  <a:schemeClr val="bg1"/>
                </a:solidFill>
              </a:rPr>
              <a:t>TOTAL DE VENDAS</a:t>
            </a:r>
          </a:p>
        </xdr:txBody>
      </xdr:sp>
    </xdr:grpSp>
    <xdr:clientData/>
  </xdr:twoCellAnchor>
  <xdr:twoCellAnchor>
    <xdr:from>
      <xdr:col>7</xdr:col>
      <xdr:colOff>248920</xdr:colOff>
      <xdr:row>7</xdr:row>
      <xdr:rowOff>163830</xdr:rowOff>
    </xdr:from>
    <xdr:to>
      <xdr:col>11</xdr:col>
      <xdr:colOff>157480</xdr:colOff>
      <xdr:row>12</xdr:row>
      <xdr:rowOff>163830</xdr:rowOff>
    </xdr:to>
    <xdr:grpSp>
      <xdr:nvGrpSpPr>
        <xdr:cNvPr id="13" name="Grupo 12"/>
        <xdr:cNvGrpSpPr/>
      </xdr:nvGrpSpPr>
      <xdr:grpSpPr>
        <a:xfrm>
          <a:off x="4516120" y="1443990"/>
          <a:ext cx="2346960" cy="914400"/>
          <a:chOff x="2156460" y="1516380"/>
          <a:chExt cx="2346960" cy="914400"/>
        </a:xfrm>
      </xdr:grpSpPr>
      <xdr:sp macro="" textlink="'TABELAS DINÂMICAS'!D7">
        <xdr:nvSpPr>
          <xdr:cNvPr id="14" name="Retângulo de cantos arredondados 13"/>
          <xdr:cNvSpPr/>
        </xdr:nvSpPr>
        <xdr:spPr>
          <a:xfrm>
            <a:off x="2156460" y="1516380"/>
            <a:ext cx="2346960" cy="914400"/>
          </a:xfrm>
          <a:prstGeom prst="roundRect">
            <a:avLst/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FA0C3795-664E-4425-A759-6F6323163093}" type="TxLink">
              <a:rPr lang="en-US" sz="2000" b="1" i="0" u="none" strike="noStrike">
                <a:solidFill>
                  <a:schemeClr val="bg2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pPr algn="ctr"/>
              <a:t>7,58%</a:t>
            </a:fld>
            <a:endParaRPr lang="pt-BR" sz="2000" b="1">
              <a:solidFill>
                <a:schemeClr val="bg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CaixaDeTexto 14"/>
          <xdr:cNvSpPr txBox="1"/>
        </xdr:nvSpPr>
        <xdr:spPr>
          <a:xfrm>
            <a:off x="2316480" y="1592580"/>
            <a:ext cx="198120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>
                <a:solidFill>
                  <a:schemeClr val="bg1"/>
                </a:solidFill>
              </a:rPr>
              <a:t>DESCONTO</a:t>
            </a:r>
            <a:r>
              <a:rPr lang="pt-BR" sz="1800" b="1">
                <a:solidFill>
                  <a:schemeClr val="bg2"/>
                </a:solidFill>
              </a:rPr>
              <a:t> MÉDIO</a:t>
            </a:r>
          </a:p>
        </xdr:txBody>
      </xdr:sp>
    </xdr:grpSp>
    <xdr:clientData/>
  </xdr:twoCellAnchor>
  <xdr:twoCellAnchor>
    <xdr:from>
      <xdr:col>11</xdr:col>
      <xdr:colOff>231140</xdr:colOff>
      <xdr:row>7</xdr:row>
      <xdr:rowOff>163830</xdr:rowOff>
    </xdr:from>
    <xdr:to>
      <xdr:col>15</xdr:col>
      <xdr:colOff>200660</xdr:colOff>
      <xdr:row>12</xdr:row>
      <xdr:rowOff>163830</xdr:rowOff>
    </xdr:to>
    <xdr:grpSp>
      <xdr:nvGrpSpPr>
        <xdr:cNvPr id="16" name="Grupo 15"/>
        <xdr:cNvGrpSpPr/>
      </xdr:nvGrpSpPr>
      <xdr:grpSpPr>
        <a:xfrm>
          <a:off x="6936740" y="1443990"/>
          <a:ext cx="2407920" cy="914400"/>
          <a:chOff x="2156460" y="1516380"/>
          <a:chExt cx="2407920" cy="914400"/>
        </a:xfrm>
      </xdr:grpSpPr>
      <xdr:sp macro="" textlink="'TABELAS DINÂMICAS'!D10">
        <xdr:nvSpPr>
          <xdr:cNvPr id="17" name="Retângulo de cantos arredondados 16"/>
          <xdr:cNvSpPr/>
        </xdr:nvSpPr>
        <xdr:spPr>
          <a:xfrm>
            <a:off x="2156460" y="1516380"/>
            <a:ext cx="2346960" cy="914400"/>
          </a:xfrm>
          <a:prstGeom prst="roundRect">
            <a:avLst/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5326AACB-309E-4C59-88F5-722FDCDB6E18}" type="TxLink">
              <a:rPr lang="en-US" sz="2000" b="1" i="0" u="none" strike="noStrike">
                <a:solidFill>
                  <a:schemeClr val="bg2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pPr algn="ctr"/>
              <a:t> R$ 22.963,54 </a:t>
            </a:fld>
            <a:endParaRPr lang="pt-BR" sz="2000" b="1">
              <a:solidFill>
                <a:schemeClr val="bg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CaixaDeTexto 17"/>
          <xdr:cNvSpPr txBox="1"/>
        </xdr:nvSpPr>
        <xdr:spPr>
          <a:xfrm>
            <a:off x="2255520" y="1592580"/>
            <a:ext cx="230886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>
                <a:solidFill>
                  <a:schemeClr val="bg2"/>
                </a:solidFill>
              </a:rPr>
              <a:t>TOTAL</a:t>
            </a:r>
            <a:r>
              <a:rPr lang="pt-BR" sz="1800" b="1" baseline="0">
                <a:solidFill>
                  <a:schemeClr val="bg2"/>
                </a:solidFill>
              </a:rPr>
              <a:t> DE COMISSÃO</a:t>
            </a:r>
            <a:endParaRPr lang="pt-BR" sz="1800" b="1">
              <a:solidFill>
                <a:schemeClr val="bg2"/>
              </a:solidFill>
            </a:endParaRPr>
          </a:p>
        </xdr:txBody>
      </xdr:sp>
    </xdr:grpSp>
    <xdr:clientData/>
  </xdr:twoCellAnchor>
  <xdr:twoCellAnchor>
    <xdr:from>
      <xdr:col>15</xdr:col>
      <xdr:colOff>274320</xdr:colOff>
      <xdr:row>7</xdr:row>
      <xdr:rowOff>163830</xdr:rowOff>
    </xdr:from>
    <xdr:to>
      <xdr:col>19</xdr:col>
      <xdr:colOff>335280</xdr:colOff>
      <xdr:row>12</xdr:row>
      <xdr:rowOff>163830</xdr:rowOff>
    </xdr:to>
    <xdr:grpSp>
      <xdr:nvGrpSpPr>
        <xdr:cNvPr id="19" name="Grupo 18"/>
        <xdr:cNvGrpSpPr/>
      </xdr:nvGrpSpPr>
      <xdr:grpSpPr>
        <a:xfrm>
          <a:off x="9418320" y="1443990"/>
          <a:ext cx="2499360" cy="914400"/>
          <a:chOff x="2133600" y="1516380"/>
          <a:chExt cx="2499360" cy="914400"/>
        </a:xfrm>
      </xdr:grpSpPr>
      <xdr:sp macro="" textlink="'TABELAS DINÂMICAS'!D13">
        <xdr:nvSpPr>
          <xdr:cNvPr id="20" name="Retângulo de cantos arredondados 19"/>
          <xdr:cNvSpPr/>
        </xdr:nvSpPr>
        <xdr:spPr>
          <a:xfrm>
            <a:off x="2156460" y="1516380"/>
            <a:ext cx="2346960" cy="914400"/>
          </a:xfrm>
          <a:prstGeom prst="roundRect">
            <a:avLst/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0D5510C3-55AC-41CA-83D1-832CFF7499EA}" type="TxLink">
              <a:rPr lang="en-US" sz="2000" b="1" i="0" u="none" strike="noStrike">
                <a:solidFill>
                  <a:schemeClr val="bg2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pPr algn="ctr"/>
              <a:t>3208</a:t>
            </a:fld>
            <a:endParaRPr lang="pt-BR" sz="2000" b="1">
              <a:solidFill>
                <a:schemeClr val="bg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CaixaDeTexto 20"/>
          <xdr:cNvSpPr txBox="1"/>
        </xdr:nvSpPr>
        <xdr:spPr>
          <a:xfrm>
            <a:off x="2133600" y="1607820"/>
            <a:ext cx="249936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>
                <a:solidFill>
                  <a:schemeClr val="bg2"/>
                </a:solidFill>
              </a:rPr>
              <a:t>QUANTIDADE VENDIDA</a:t>
            </a:r>
          </a:p>
        </xdr:txBody>
      </xdr:sp>
    </xdr:grpSp>
    <xdr:clientData/>
  </xdr:twoCellAnchor>
  <xdr:twoCellAnchor>
    <xdr:from>
      <xdr:col>3</xdr:col>
      <xdr:colOff>304800</xdr:colOff>
      <xdr:row>13</xdr:row>
      <xdr:rowOff>30480</xdr:rowOff>
    </xdr:from>
    <xdr:to>
      <xdr:col>11</xdr:col>
      <xdr:colOff>0</xdr:colOff>
      <xdr:row>29</xdr:row>
      <xdr:rowOff>15240</xdr:rowOff>
    </xdr:to>
    <xdr:grpSp>
      <xdr:nvGrpSpPr>
        <xdr:cNvPr id="30" name="Grupo 29"/>
        <xdr:cNvGrpSpPr/>
      </xdr:nvGrpSpPr>
      <xdr:grpSpPr>
        <a:xfrm>
          <a:off x="2133600" y="2407920"/>
          <a:ext cx="4572000" cy="2910840"/>
          <a:chOff x="2049780" y="2407920"/>
          <a:chExt cx="4572000" cy="2910840"/>
        </a:xfrm>
      </xdr:grpSpPr>
      <xdr:sp macro="" textlink="">
        <xdr:nvSpPr>
          <xdr:cNvPr id="23" name="Retângulo de cantos arredondados 22"/>
          <xdr:cNvSpPr/>
        </xdr:nvSpPr>
        <xdr:spPr>
          <a:xfrm>
            <a:off x="2065020" y="2430780"/>
            <a:ext cx="4549140" cy="2834640"/>
          </a:xfrm>
          <a:prstGeom prst="roundRect">
            <a:avLst>
              <a:gd name="adj" fmla="val 5108"/>
            </a:avLst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22" name="Gráfico 21"/>
          <xdr:cNvGraphicFramePr>
            <a:graphicFrameLocks/>
          </xdr:cNvGraphicFramePr>
        </xdr:nvGraphicFramePr>
        <xdr:xfrm>
          <a:off x="2049780" y="257556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4" name="CaixaDeTexto 23"/>
          <xdr:cNvSpPr txBox="1"/>
        </xdr:nvSpPr>
        <xdr:spPr>
          <a:xfrm>
            <a:off x="3177540" y="2407920"/>
            <a:ext cx="2773680" cy="29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FATURAMENTO ANUAL</a:t>
            </a:r>
          </a:p>
        </xdr:txBody>
      </xdr:sp>
    </xdr:grpSp>
    <xdr:clientData/>
  </xdr:twoCellAnchor>
  <xdr:twoCellAnchor>
    <xdr:from>
      <xdr:col>11</xdr:col>
      <xdr:colOff>480060</xdr:colOff>
      <xdr:row>13</xdr:row>
      <xdr:rowOff>30480</xdr:rowOff>
    </xdr:from>
    <xdr:to>
      <xdr:col>19</xdr:col>
      <xdr:colOff>175260</xdr:colOff>
      <xdr:row>29</xdr:row>
      <xdr:rowOff>15240</xdr:rowOff>
    </xdr:to>
    <xdr:grpSp>
      <xdr:nvGrpSpPr>
        <xdr:cNvPr id="31" name="Grupo 30"/>
        <xdr:cNvGrpSpPr/>
      </xdr:nvGrpSpPr>
      <xdr:grpSpPr>
        <a:xfrm>
          <a:off x="7185660" y="2407920"/>
          <a:ext cx="4572000" cy="2910840"/>
          <a:chOff x="7254240" y="2377440"/>
          <a:chExt cx="4572000" cy="2910840"/>
        </a:xfrm>
      </xdr:grpSpPr>
      <xdr:sp macro="" textlink="">
        <xdr:nvSpPr>
          <xdr:cNvPr id="26" name="Retângulo de cantos arredondados 25"/>
          <xdr:cNvSpPr/>
        </xdr:nvSpPr>
        <xdr:spPr>
          <a:xfrm>
            <a:off x="7254240" y="2407920"/>
            <a:ext cx="4549140" cy="2834640"/>
          </a:xfrm>
          <a:prstGeom prst="roundRect">
            <a:avLst>
              <a:gd name="adj" fmla="val 5108"/>
            </a:avLst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25" name="Gráfico 24"/>
          <xdr:cNvGraphicFramePr>
            <a:graphicFrameLocks/>
          </xdr:cNvGraphicFramePr>
        </xdr:nvGraphicFramePr>
        <xdr:xfrm>
          <a:off x="7254240" y="254508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9" name="CaixaDeTexto 28"/>
          <xdr:cNvSpPr txBox="1"/>
        </xdr:nvSpPr>
        <xdr:spPr>
          <a:xfrm>
            <a:off x="8092440" y="2377440"/>
            <a:ext cx="338328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FATURAMENTO</a:t>
            </a:r>
            <a:r>
              <a:rPr lang="pt-BR" sz="16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POR PRODUTO</a:t>
            </a:r>
            <a:endParaRPr lang="pt-BR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thur Ramos" refreshedDate="46105.654509490741" createdVersion="5" refreshedVersion="5" minRefreshableVersion="3" recordCount="1012">
  <cacheSource type="worksheet">
    <worksheetSource ref="A1:S1013" sheet="DATABASE"/>
  </cacheSource>
  <cacheFields count="19">
    <cacheField name="Seq." numFmtId="0">
      <sharedItems containsSemiMixedTypes="0" containsString="0" containsNumber="1" containsInteger="1" minValue="1" maxValue="1012"/>
    </cacheField>
    <cacheField name="Data" numFmtId="14">
      <sharedItems containsSemiMixedTypes="0" containsNonDate="0" containsDate="1" containsString="0" minDate="2020-01-01T00:00:00" maxDate="2021-06-30T00:00:00" count="447">
        <d v="2020-01-01T00:00:00"/>
        <d v="2020-01-04T00:00:00"/>
        <d v="2020-01-05T00:00:00"/>
        <d v="2020-01-06T00:00:00"/>
        <d v="2020-01-07T00:00:00"/>
        <d v="2020-01-09T00:00:00"/>
        <d v="2020-01-11T00:00:00"/>
        <d v="2020-01-12T00:00:00"/>
        <d v="2020-01-15T00:00:00"/>
        <d v="2020-01-16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7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4T00:00:00"/>
        <d v="2020-02-15T00:00:00"/>
        <d v="2020-02-16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1T00:00:00"/>
        <d v="2020-03-12T00:00:00"/>
        <d v="2020-03-13T00:00:00"/>
        <d v="2020-03-15T00:00:00"/>
        <d v="2020-03-16T00:00:00"/>
        <d v="2020-03-17T00:00:00"/>
        <d v="2020-03-18T00:00:00"/>
        <d v="2020-03-19T00:00:00"/>
        <d v="2020-03-21T00:00:00"/>
        <d v="2020-03-22T00:00:00"/>
        <d v="2020-03-23T00:00:00"/>
        <d v="2020-03-25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5T00:00:00"/>
        <d v="2020-04-06T00:00:00"/>
        <d v="2020-04-07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7T00:00:00"/>
        <d v="2020-04-18T00:00:00"/>
        <d v="2020-04-19T00:00:00"/>
        <d v="2020-04-21T00:00:00"/>
        <d v="2020-04-22T00:00:00"/>
        <d v="2020-04-24T00:00:00"/>
        <d v="2020-04-27T00:00:00"/>
        <d v="2020-04-28T00:00:00"/>
        <d v="2020-04-29T00:00:00"/>
        <d v="2020-04-30T00:00:00"/>
        <d v="2020-05-01T00:00:00"/>
        <d v="2020-05-02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9T00:00:00"/>
        <d v="2020-05-20T00:00:00"/>
        <d v="2020-05-21T00:00:00"/>
        <d v="2020-05-22T00:00:00"/>
        <d v="2020-05-23T00:00:00"/>
        <d v="2020-05-24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4T00:00:00"/>
        <d v="2020-06-05T00:00:00"/>
        <d v="2020-06-06T00:00:00"/>
        <d v="2020-06-07T00:00:00"/>
        <d v="2020-06-09T00:00:00"/>
        <d v="2020-06-10T00:00:00"/>
        <d v="2020-06-11T00:00:00"/>
        <d v="2020-06-12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6T00:00:00"/>
        <d v="2020-06-27T00:00:00"/>
        <d v="2020-06-28T00:00:00"/>
        <d v="2020-06-29T00:00:00"/>
        <d v="2020-06-30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4T00:00:00"/>
        <d v="2020-07-16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3T00:00:00"/>
        <d v="2020-09-24T00:00:00"/>
        <d v="2020-09-25T00:00:00"/>
        <d v="2020-09-26T00:00:00"/>
        <d v="2020-09-28T00:00:00"/>
        <d v="2020-09-30T00:00:00"/>
        <d v="2020-10-01T00:00:00"/>
        <d v="2020-10-02T00:00:00"/>
        <d v="2020-10-03T00:00:00"/>
        <d v="2020-10-04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7T00:00:00"/>
        <d v="2020-10-18T00:00:00"/>
        <d v="2020-10-19T00:00:00"/>
        <d v="2020-10-20T00:00:00"/>
        <d v="2020-10-21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5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1T00:00:00"/>
        <d v="2020-12-12T00:00:00"/>
        <d v="2020-12-14T00:00:00"/>
        <d v="2020-12-15T00:00:00"/>
        <d v="2020-12-16T00:00:00"/>
        <d v="2020-12-17T00:00:00"/>
        <d v="2020-12-19T00:00:00"/>
        <d v="2020-12-20T00:00:00"/>
        <d v="2020-12-21T00:00:00"/>
        <d v="2020-12-22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30T00:00:00"/>
        <d v="2021-02-01T00:00:00"/>
        <d v="2021-02-03T00:00:00"/>
        <d v="2021-02-05T00:00:00"/>
        <d v="2021-02-06T00:00:00"/>
        <d v="2021-02-07T00:00:00"/>
        <d v="2021-02-08T00:00:00"/>
        <d v="2021-02-09T00:00:00"/>
        <d v="2021-02-10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3T00:00:00"/>
        <d v="2021-03-24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3T00:00:00"/>
        <d v="2021-04-16T00:00:00"/>
        <d v="2021-04-18T00:00:00"/>
        <d v="2021-04-20T00:00:00"/>
        <d v="2021-04-21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2T00:00:00"/>
        <d v="2021-05-03T00:00:00"/>
        <d v="2021-05-05T00:00:00"/>
        <d v="2021-05-06T00:00:00"/>
        <d v="2021-05-07T00:00:00"/>
        <d v="2021-05-08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1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2T00:00:00"/>
        <d v="2021-06-23T00:00:00"/>
        <d v="2021-06-24T00:00:00"/>
        <d v="2021-06-26T00:00:00"/>
        <d v="2021-06-27T00:00:00"/>
        <d v="2021-06-28T00:00:00"/>
        <d v="2021-06-29T00:00:00"/>
      </sharedItems>
      <fieldGroup base="1">
        <rangePr groupBy="years" startDate="2020-01-01T00:00:00" endDate="2021-06-30T00:00:00"/>
        <groupItems count="4">
          <s v="&lt;01/01/2020"/>
          <s v="2020"/>
          <s v="2021"/>
          <s v="&gt;30/06/2021"/>
        </groupItems>
      </fieldGroup>
    </cacheField>
    <cacheField name="Cód. Cliente" numFmtId="0">
      <sharedItems containsSemiMixedTypes="0" containsString="0" containsNumber="1" containsInteger="1" minValue="1" maxValue="100"/>
    </cacheField>
    <cacheField name="Cidade" numFmtId="0">
      <sharedItems/>
    </cacheField>
    <cacheField name="Produto" numFmtId="0">
      <sharedItems count="10">
        <s v="Cueca"/>
        <s v="Sapato"/>
        <s v="Camisa social"/>
        <s v="Boné"/>
        <s v="Tênis"/>
        <s v="Bermuda"/>
        <s v="Chinela"/>
        <s v="Blusa"/>
        <s v="Casaco"/>
        <s v="Moletom"/>
      </sharedItems>
    </cacheField>
    <cacheField name="Qtde." numFmtId="0">
      <sharedItems containsSemiMixedTypes="0" containsString="0" containsNumber="1" containsInteger="1" minValue="10" maxValue="50"/>
    </cacheField>
    <cacheField name="Preço Unitário" numFmtId="44">
      <sharedItems containsSemiMixedTypes="0" containsString="0" containsNumber="1" containsInteger="1" minValue="90" maxValue="120"/>
    </cacheField>
    <cacheField name="Valor Bruto" numFmtId="44">
      <sharedItems containsSemiMixedTypes="0" containsString="0" containsNumber="1" containsInteger="1" minValue="910" maxValue="6000"/>
    </cacheField>
    <cacheField name="% Desconto" numFmtId="14">
      <sharedItems containsSemiMixedTypes="0" containsNonDate="0" containsDate="1" containsString="0" minDate="1899-12-30T00:00:00" maxDate="1899-12-30T03:36:00"/>
    </cacheField>
    <cacheField name="Valor Venda" numFmtId="44">
      <sharedItems containsSemiMixedTypes="0" containsString="0" containsNumber="1" minValue="799.8" maxValue="5712"/>
    </cacheField>
    <cacheField name="Vencimento" numFmtId="14">
      <sharedItems containsSemiMixedTypes="0" containsNonDate="0" containsDate="1" containsString="0" minDate="2020-01-03T00:00:00" maxDate="2021-07-24T00:00:00"/>
    </cacheField>
    <cacheField name="Data Pagamento" numFmtId="14">
      <sharedItems containsNonDate="0" containsDate="1" containsString="0" containsBlank="1" minDate="2020-01-03T00:00:00" maxDate="2021-07-24T00:00:00"/>
    </cacheField>
    <cacheField name="Documento" numFmtId="0">
      <sharedItems containsSemiMixedTypes="0" containsString="0" containsNumber="1" containsInteger="1" minValue="1" maxValue="1012"/>
    </cacheField>
    <cacheField name="Canal de Venda" numFmtId="0">
      <sharedItems containsSemiMixedTypes="0" containsString="0" containsNumber="1" containsInteger="1" minValue="1" maxValue="7"/>
    </cacheField>
    <cacheField name="Vendedor" numFmtId="0">
      <sharedItems count="10">
        <s v="Rebeca Melo"/>
        <s v="Ryan Azevedo"/>
        <s v="Larissa Martins"/>
        <s v="Marisa Alves"/>
        <s v="Carolina Cavalcanti"/>
        <s v="Isabella Cavalcanti"/>
        <s v="Ana Fernandes"/>
        <s v="Melissa Rocha"/>
        <s v="Cauã Barros"/>
        <s v="Beatrice Alves"/>
      </sharedItems>
    </cacheField>
    <cacheField name="% Comis." numFmtId="9">
      <sharedItems containsSemiMixedTypes="0" containsString="0" containsNumber="1" minValue="0.05" maxValue="0.1"/>
    </cacheField>
    <cacheField name="Comissão" numFmtId="44">
      <sharedItems containsSemiMixedTypes="0" containsString="0" containsNumber="1" minValue="43.164999999999999" maxValue="570"/>
    </cacheField>
    <cacheField name="Tipo de Pagamento" numFmtId="0">
      <sharedItems containsSemiMixedTypes="0" containsString="0" containsNumber="1" containsInteger="1" minValue="1" maxValue="7"/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2">
  <r>
    <n v="1"/>
    <x v="0"/>
    <n v="71"/>
    <s v="Paranavaí"/>
    <x v="0"/>
    <n v="37"/>
    <n v="101"/>
    <n v="3737"/>
    <d v="1899-12-30T00:28:48"/>
    <n v="3662.26"/>
    <d v="2020-01-12T00:00:00"/>
    <d v="2020-01-12T00:00:00"/>
    <n v="1"/>
    <n v="6"/>
    <x v="0"/>
    <n v="0.08"/>
    <n v="292.98080000000004"/>
    <n v="1"/>
    <x v="0"/>
  </r>
  <r>
    <n v="2"/>
    <x v="0"/>
    <n v="52"/>
    <s v="São Luís"/>
    <x v="1"/>
    <n v="47"/>
    <n v="93"/>
    <n v="4371"/>
    <d v="1899-12-30T00:57:36"/>
    <n v="4196.16"/>
    <d v="2020-01-03T00:00:00"/>
    <d v="2020-01-03T00:00:00"/>
    <n v="2"/>
    <n v="2"/>
    <x v="1"/>
    <n v="0.1"/>
    <n v="419.61599999999999"/>
    <n v="2"/>
    <x v="0"/>
  </r>
  <r>
    <n v="3"/>
    <x v="0"/>
    <n v="92"/>
    <s v="Recife"/>
    <x v="1"/>
    <n v="34"/>
    <n v="116"/>
    <n v="3944"/>
    <d v="1899-12-30T00:14:24"/>
    <n v="3904.56"/>
    <d v="2020-01-24T00:00:00"/>
    <d v="2020-01-24T00:00:00"/>
    <n v="3"/>
    <n v="4"/>
    <x v="1"/>
    <n v="0.1"/>
    <n v="390.45600000000002"/>
    <n v="3"/>
    <x v="0"/>
  </r>
  <r>
    <n v="4"/>
    <x v="1"/>
    <n v="16"/>
    <s v="Eunápolis"/>
    <x v="2"/>
    <n v="44"/>
    <n v="113"/>
    <n v="4972"/>
    <d v="1899-12-30T01:55:12"/>
    <n v="4574.24"/>
    <d v="2020-01-04T00:00:00"/>
    <d v="2020-01-04T00:00:00"/>
    <n v="4"/>
    <n v="3"/>
    <x v="2"/>
    <n v="7.0000000000000007E-2"/>
    <n v="320.1968"/>
    <n v="4"/>
    <x v="0"/>
  </r>
  <r>
    <n v="5"/>
    <x v="2"/>
    <n v="66"/>
    <s v="Gurupi"/>
    <x v="3"/>
    <n v="24"/>
    <n v="97"/>
    <n v="2328"/>
    <d v="1899-12-30T00:28:48"/>
    <n v="2281.44"/>
    <d v="2020-01-12T00:00:00"/>
    <d v="2020-01-12T00:00:00"/>
    <n v="5"/>
    <n v="6"/>
    <x v="3"/>
    <n v="7.0000000000000007E-2"/>
    <n v="159.70080000000002"/>
    <n v="5"/>
    <x v="0"/>
  </r>
  <r>
    <n v="6"/>
    <x v="3"/>
    <n v="93"/>
    <s v="Salvador"/>
    <x v="1"/>
    <n v="11"/>
    <n v="96"/>
    <n v="1056"/>
    <d v="1899-12-30T00:00:00"/>
    <n v="1056"/>
    <d v="2020-01-27T00:00:00"/>
    <d v="2020-01-27T00:00:00"/>
    <n v="6"/>
    <n v="2"/>
    <x v="4"/>
    <n v="0.08"/>
    <n v="84.48"/>
    <n v="6"/>
    <x v="0"/>
  </r>
  <r>
    <n v="7"/>
    <x v="3"/>
    <n v="2"/>
    <s v="Laranjeiras do Sul"/>
    <x v="3"/>
    <n v="20"/>
    <n v="112"/>
    <n v="2240"/>
    <d v="1899-12-30T03:07:12"/>
    <n v="1948.8"/>
    <d v="2020-02-04T00:00:00"/>
    <d v="2020-02-04T00:00:00"/>
    <n v="7"/>
    <n v="4"/>
    <x v="2"/>
    <n v="0.08"/>
    <n v="155.904"/>
    <n v="7"/>
    <x v="0"/>
  </r>
  <r>
    <n v="8"/>
    <x v="3"/>
    <n v="9"/>
    <s v="Governador Valadares"/>
    <x v="3"/>
    <n v="10"/>
    <n v="92"/>
    <n v="920"/>
    <d v="1899-12-30T00:00:00"/>
    <n v="920"/>
    <d v="2020-01-31T00:00:00"/>
    <d v="2020-01-31T00:00:00"/>
    <n v="8"/>
    <n v="4"/>
    <x v="5"/>
    <n v="0.06"/>
    <n v="55.199999999999996"/>
    <n v="1"/>
    <x v="0"/>
  </r>
  <r>
    <n v="9"/>
    <x v="3"/>
    <n v="39"/>
    <s v="São Paulo"/>
    <x v="1"/>
    <n v="22"/>
    <n v="99"/>
    <n v="2178"/>
    <d v="1899-12-30T00:28:48"/>
    <n v="2134.44"/>
    <d v="2020-01-25T00:00:00"/>
    <d v="2020-01-25T00:00:00"/>
    <n v="9"/>
    <n v="7"/>
    <x v="4"/>
    <n v="0.09"/>
    <n v="192.09960000000001"/>
    <n v="2"/>
    <x v="0"/>
  </r>
  <r>
    <n v="10"/>
    <x v="4"/>
    <n v="20"/>
    <s v="São Bernardo do Campo"/>
    <x v="3"/>
    <n v="45"/>
    <n v="107"/>
    <n v="4815"/>
    <d v="1899-12-30T00:28:48"/>
    <n v="4718.7"/>
    <d v="2020-01-12T00:00:00"/>
    <d v="2020-01-12T00:00:00"/>
    <n v="10"/>
    <n v="5"/>
    <x v="1"/>
    <n v="0.1"/>
    <n v="471.87"/>
    <n v="3"/>
    <x v="0"/>
  </r>
  <r>
    <n v="11"/>
    <x v="4"/>
    <n v="87"/>
    <s v="Fortaleza"/>
    <x v="4"/>
    <n v="14"/>
    <n v="105"/>
    <n v="1470"/>
    <d v="1899-12-30T00:00:00"/>
    <n v="1470"/>
    <d v="2020-01-13T00:00:00"/>
    <d v="2020-01-13T00:00:00"/>
    <n v="11"/>
    <n v="6"/>
    <x v="2"/>
    <n v="0.1"/>
    <n v="147"/>
    <n v="4"/>
    <x v="0"/>
  </r>
  <r>
    <n v="12"/>
    <x v="4"/>
    <n v="96"/>
    <s v="Santana de Parnaíba"/>
    <x v="3"/>
    <n v="27"/>
    <n v="105"/>
    <n v="2835"/>
    <d v="1899-12-30T02:09:36"/>
    <n v="2579.85"/>
    <d v="2020-01-12T00:00:00"/>
    <d v="2020-01-12T00:00:00"/>
    <n v="12"/>
    <n v="3"/>
    <x v="6"/>
    <n v="7.0000000000000007E-2"/>
    <n v="180.58950000000002"/>
    <n v="5"/>
    <x v="0"/>
  </r>
  <r>
    <n v="13"/>
    <x v="5"/>
    <n v="55"/>
    <s v="Manaus"/>
    <x v="3"/>
    <n v="18"/>
    <n v="110"/>
    <n v="1980"/>
    <d v="1899-12-30T03:21:36"/>
    <n v="1702.8"/>
    <d v="2020-02-07T00:00:00"/>
    <d v="2020-02-07T00:00:00"/>
    <n v="13"/>
    <n v="5"/>
    <x v="0"/>
    <n v="0.06"/>
    <n v="102.16799999999999"/>
    <n v="6"/>
    <x v="0"/>
  </r>
  <r>
    <n v="14"/>
    <x v="5"/>
    <n v="73"/>
    <s v="São Paulo"/>
    <x v="1"/>
    <n v="31"/>
    <n v="117"/>
    <n v="3627"/>
    <d v="1899-12-30T00:28:48"/>
    <n v="3554.46"/>
    <d v="2020-01-09T00:00:00"/>
    <d v="2020-01-09T00:00:00"/>
    <n v="14"/>
    <n v="4"/>
    <x v="1"/>
    <n v="0.06"/>
    <n v="213.26759999999999"/>
    <n v="7"/>
    <x v="0"/>
  </r>
  <r>
    <n v="15"/>
    <x v="5"/>
    <n v="74"/>
    <s v="São Paulo"/>
    <x v="2"/>
    <n v="11"/>
    <n v="114"/>
    <n v="1254"/>
    <d v="1899-12-30T00:57:36"/>
    <n v="1203.8399999999999"/>
    <d v="2020-01-17T00:00:00"/>
    <d v="2020-01-17T00:00:00"/>
    <n v="15"/>
    <n v="4"/>
    <x v="3"/>
    <n v="0.1"/>
    <n v="120.384"/>
    <n v="1"/>
    <x v="0"/>
  </r>
  <r>
    <n v="16"/>
    <x v="6"/>
    <n v="12"/>
    <s v="São José do Rio Preto"/>
    <x v="3"/>
    <n v="25"/>
    <n v="110"/>
    <n v="2750"/>
    <d v="1899-12-30T00:14:24"/>
    <n v="2722.5"/>
    <d v="2020-01-13T00:00:00"/>
    <d v="2020-01-13T00:00:00"/>
    <n v="16"/>
    <n v="6"/>
    <x v="3"/>
    <n v="0.1"/>
    <n v="272.25"/>
    <n v="2"/>
    <x v="0"/>
  </r>
  <r>
    <n v="17"/>
    <x v="7"/>
    <n v="92"/>
    <s v="Recife"/>
    <x v="5"/>
    <n v="30"/>
    <n v="108"/>
    <n v="3240"/>
    <d v="1899-12-30T01:26:24"/>
    <n v="3045.6"/>
    <d v="2020-02-04T00:00:00"/>
    <d v="2020-02-04T00:00:00"/>
    <n v="17"/>
    <n v="1"/>
    <x v="7"/>
    <n v="7.0000000000000007E-2"/>
    <n v="213.19200000000001"/>
    <n v="3"/>
    <x v="0"/>
  </r>
  <r>
    <n v="18"/>
    <x v="8"/>
    <n v="37"/>
    <s v="Arcoverde"/>
    <x v="2"/>
    <n v="21"/>
    <n v="109"/>
    <n v="2289"/>
    <d v="1899-12-30T02:24:00"/>
    <n v="2060.1"/>
    <d v="2020-02-12T00:00:00"/>
    <d v="2020-02-12T00:00:00"/>
    <n v="18"/>
    <n v="4"/>
    <x v="7"/>
    <n v="7.0000000000000007E-2"/>
    <n v="144.20699999999999"/>
    <n v="4"/>
    <x v="0"/>
  </r>
  <r>
    <n v="19"/>
    <x v="8"/>
    <n v="100"/>
    <s v="São Paulo"/>
    <x v="3"/>
    <n v="37"/>
    <n v="99"/>
    <n v="3663"/>
    <d v="1899-12-30T02:52:48"/>
    <n v="3223.44"/>
    <d v="2020-02-02T00:00:00"/>
    <d v="2020-02-02T00:00:00"/>
    <n v="19"/>
    <n v="3"/>
    <x v="6"/>
    <n v="0.05"/>
    <n v="161.17200000000003"/>
    <n v="5"/>
    <x v="0"/>
  </r>
  <r>
    <n v="20"/>
    <x v="8"/>
    <n v="94"/>
    <s v="Goiânia"/>
    <x v="6"/>
    <n v="39"/>
    <n v="103"/>
    <n v="4017"/>
    <d v="1899-12-30T03:36:00"/>
    <n v="3414.45"/>
    <d v="2020-01-30T00:00:00"/>
    <d v="2020-01-30T00:00:00"/>
    <n v="20"/>
    <n v="6"/>
    <x v="4"/>
    <n v="0.08"/>
    <n v="273.15600000000001"/>
    <n v="6"/>
    <x v="0"/>
  </r>
  <r>
    <n v="21"/>
    <x v="8"/>
    <n v="22"/>
    <s v="Núcleo Bandeirante"/>
    <x v="6"/>
    <n v="27"/>
    <n v="115"/>
    <n v="3105"/>
    <d v="1899-12-30T02:52:48"/>
    <n v="2732.4"/>
    <d v="2020-01-25T00:00:00"/>
    <d v="2020-01-25T00:00:00"/>
    <n v="21"/>
    <n v="1"/>
    <x v="2"/>
    <n v="7.0000000000000007E-2"/>
    <n v="191.26800000000003"/>
    <n v="7"/>
    <x v="0"/>
  </r>
  <r>
    <n v="22"/>
    <x v="9"/>
    <n v="35"/>
    <s v="São Paulo"/>
    <x v="3"/>
    <n v="49"/>
    <n v="105"/>
    <n v="5145"/>
    <d v="1899-12-30T00:43:12"/>
    <n v="4990.6499999999996"/>
    <d v="2020-01-22T00:00:00"/>
    <d v="2020-01-22T00:00:00"/>
    <n v="22"/>
    <n v="2"/>
    <x v="2"/>
    <n v="0.09"/>
    <n v="449.15849999999995"/>
    <n v="1"/>
    <x v="0"/>
  </r>
  <r>
    <n v="23"/>
    <x v="9"/>
    <n v="88"/>
    <s v="São Paulo"/>
    <x v="6"/>
    <n v="29"/>
    <n v="91"/>
    <n v="2639"/>
    <d v="1899-12-30T02:24:00"/>
    <n v="2375.1"/>
    <d v="2020-02-12T00:00:00"/>
    <d v="2020-02-12T00:00:00"/>
    <n v="23"/>
    <n v="2"/>
    <x v="8"/>
    <n v="0.09"/>
    <n v="213.75899999999999"/>
    <n v="2"/>
    <x v="0"/>
  </r>
  <r>
    <n v="24"/>
    <x v="9"/>
    <n v="51"/>
    <s v="Avaré"/>
    <x v="7"/>
    <n v="23"/>
    <n v="90"/>
    <n v="2070"/>
    <d v="1899-12-30T01:40:48"/>
    <n v="1925.1"/>
    <d v="2020-02-04T00:00:00"/>
    <d v="2020-02-04T00:00:00"/>
    <n v="24"/>
    <n v="5"/>
    <x v="1"/>
    <n v="7.0000000000000007E-2"/>
    <n v="134.75700000000001"/>
    <n v="3"/>
    <x v="0"/>
  </r>
  <r>
    <n v="25"/>
    <x v="10"/>
    <n v="51"/>
    <s v="Avaré"/>
    <x v="8"/>
    <n v="17"/>
    <n v="116"/>
    <n v="1972"/>
    <d v="1899-12-30T01:55:12"/>
    <n v="1814.24"/>
    <d v="2020-01-23T00:00:00"/>
    <d v="2020-01-23T00:00:00"/>
    <n v="25"/>
    <n v="5"/>
    <x v="4"/>
    <n v="0.09"/>
    <n v="163.2816"/>
    <n v="4"/>
    <x v="0"/>
  </r>
  <r>
    <n v="26"/>
    <x v="10"/>
    <n v="61"/>
    <s v="Petrópolis"/>
    <x v="8"/>
    <n v="28"/>
    <n v="109"/>
    <n v="3052"/>
    <d v="1899-12-30T02:09:36"/>
    <n v="2777.32"/>
    <d v="2020-02-08T00:00:00"/>
    <d v="2020-02-08T00:00:00"/>
    <n v="26"/>
    <n v="5"/>
    <x v="7"/>
    <n v="0.05"/>
    <n v="138.86600000000001"/>
    <n v="5"/>
    <x v="0"/>
  </r>
  <r>
    <n v="27"/>
    <x v="10"/>
    <n v="85"/>
    <s v="Piraquara"/>
    <x v="2"/>
    <n v="11"/>
    <n v="101"/>
    <n v="1111"/>
    <d v="1899-12-30T02:38:24"/>
    <n v="988.79"/>
    <d v="2020-02-17T00:00:00"/>
    <d v="2020-02-17T00:00:00"/>
    <n v="27"/>
    <n v="6"/>
    <x v="1"/>
    <n v="0.06"/>
    <n v="59.327399999999997"/>
    <n v="6"/>
    <x v="0"/>
  </r>
  <r>
    <n v="28"/>
    <x v="11"/>
    <n v="34"/>
    <s v="Brusque"/>
    <x v="9"/>
    <n v="27"/>
    <n v="96"/>
    <n v="2592"/>
    <d v="1899-12-30T03:07:12"/>
    <n v="2255.04"/>
    <d v="2020-02-07T00:00:00"/>
    <d v="2020-02-07T00:00:00"/>
    <n v="28"/>
    <n v="6"/>
    <x v="3"/>
    <n v="0.06"/>
    <n v="135.30240000000001"/>
    <n v="7"/>
    <x v="0"/>
  </r>
  <r>
    <n v="29"/>
    <x v="11"/>
    <n v="90"/>
    <s v="Cachoeiro de Itapemirim"/>
    <x v="2"/>
    <n v="20"/>
    <n v="95"/>
    <n v="1900"/>
    <d v="1899-12-30T01:40:48"/>
    <n v="1767"/>
    <d v="2020-01-24T00:00:00"/>
    <d v="2020-01-24T00:00:00"/>
    <n v="29"/>
    <n v="7"/>
    <x v="6"/>
    <n v="0.1"/>
    <n v="176.70000000000002"/>
    <n v="1"/>
    <x v="0"/>
  </r>
  <r>
    <n v="30"/>
    <x v="12"/>
    <n v="48"/>
    <s v="Guarulhos"/>
    <x v="6"/>
    <n v="19"/>
    <n v="114"/>
    <n v="2166"/>
    <d v="1899-12-30T01:12:00"/>
    <n v="2057.6999999999998"/>
    <d v="2020-02-18T00:00:00"/>
    <d v="2020-02-18T00:00:00"/>
    <n v="30"/>
    <n v="5"/>
    <x v="3"/>
    <n v="0.1"/>
    <n v="205.76999999999998"/>
    <n v="2"/>
    <x v="0"/>
  </r>
  <r>
    <n v="31"/>
    <x v="12"/>
    <n v="91"/>
    <s v="Itaquaquecetuba"/>
    <x v="7"/>
    <n v="50"/>
    <n v="96"/>
    <n v="4800"/>
    <d v="1899-12-30T01:12:00"/>
    <n v="4560"/>
    <d v="2020-02-18T00:00:00"/>
    <d v="2020-02-18T00:00:00"/>
    <n v="31"/>
    <n v="3"/>
    <x v="0"/>
    <n v="0.08"/>
    <n v="364.8"/>
    <n v="3"/>
    <x v="0"/>
  </r>
  <r>
    <n v="32"/>
    <x v="12"/>
    <n v="25"/>
    <s v="Belém"/>
    <x v="6"/>
    <n v="20"/>
    <n v="108"/>
    <n v="2160"/>
    <d v="1899-12-30T00:00:00"/>
    <n v="2160"/>
    <d v="2020-02-01T00:00:00"/>
    <d v="2020-02-01T00:00:00"/>
    <n v="32"/>
    <n v="6"/>
    <x v="3"/>
    <n v="7.0000000000000007E-2"/>
    <n v="151.20000000000002"/>
    <n v="4"/>
    <x v="0"/>
  </r>
  <r>
    <n v="33"/>
    <x v="13"/>
    <n v="65"/>
    <s v="Ariquemes"/>
    <x v="3"/>
    <n v="18"/>
    <n v="102"/>
    <n v="1836"/>
    <d v="1899-12-30T02:38:24"/>
    <n v="1634.04"/>
    <d v="2020-02-17T00:00:00"/>
    <d v="2020-02-17T00:00:00"/>
    <n v="33"/>
    <n v="3"/>
    <x v="0"/>
    <n v="0.06"/>
    <n v="98.042400000000001"/>
    <n v="5"/>
    <x v="0"/>
  </r>
  <r>
    <n v="34"/>
    <x v="13"/>
    <n v="52"/>
    <s v="São Luís"/>
    <x v="3"/>
    <n v="44"/>
    <n v="106"/>
    <n v="4664"/>
    <d v="1899-12-30T01:55:12"/>
    <n v="4290.88"/>
    <d v="2020-02-02T00:00:00"/>
    <d v="2020-02-02T00:00:00"/>
    <n v="34"/>
    <n v="1"/>
    <x v="3"/>
    <n v="7.0000000000000007E-2"/>
    <n v="300.36160000000001"/>
    <n v="6"/>
    <x v="0"/>
  </r>
  <r>
    <n v="35"/>
    <x v="13"/>
    <n v="74"/>
    <s v="São Paulo"/>
    <x v="6"/>
    <n v="41"/>
    <n v="105"/>
    <n v="4305"/>
    <d v="1899-12-30T03:07:12"/>
    <n v="3745.35"/>
    <d v="2020-02-18T00:00:00"/>
    <d v="2020-02-18T00:00:00"/>
    <n v="35"/>
    <n v="6"/>
    <x v="8"/>
    <n v="0.09"/>
    <n v="337.08150000000001"/>
    <n v="7"/>
    <x v="0"/>
  </r>
  <r>
    <n v="36"/>
    <x v="14"/>
    <n v="77"/>
    <s v="Sorocaba"/>
    <x v="1"/>
    <n v="19"/>
    <n v="111"/>
    <n v="2109"/>
    <d v="1899-12-30T01:55:12"/>
    <n v="1940.28"/>
    <d v="2020-02-05T00:00:00"/>
    <d v="2020-02-05T00:00:00"/>
    <n v="36"/>
    <n v="2"/>
    <x v="5"/>
    <n v="0.06"/>
    <n v="116.41679999999999"/>
    <n v="1"/>
    <x v="0"/>
  </r>
  <r>
    <n v="37"/>
    <x v="14"/>
    <n v="72"/>
    <s v="São Paulo"/>
    <x v="3"/>
    <n v="14"/>
    <n v="94"/>
    <n v="1316"/>
    <d v="1899-12-30T02:09:36"/>
    <n v="1197.56"/>
    <d v="2020-02-09T00:00:00"/>
    <d v="2020-02-09T00:00:00"/>
    <n v="37"/>
    <n v="7"/>
    <x v="7"/>
    <n v="0.09"/>
    <n v="107.78039999999999"/>
    <n v="2"/>
    <x v="0"/>
  </r>
  <r>
    <n v="38"/>
    <x v="15"/>
    <n v="97"/>
    <s v="Franca"/>
    <x v="0"/>
    <n v="16"/>
    <n v="108"/>
    <n v="1728"/>
    <d v="1899-12-30T01:55:12"/>
    <n v="1589.76"/>
    <d v="2020-02-01T00:00:00"/>
    <d v="2020-02-01T00:00:00"/>
    <n v="38"/>
    <n v="4"/>
    <x v="7"/>
    <n v="0.06"/>
    <n v="95.385599999999997"/>
    <n v="3"/>
    <x v="0"/>
  </r>
  <r>
    <n v="39"/>
    <x v="15"/>
    <n v="82"/>
    <s v="Rio de Janeiro"/>
    <x v="1"/>
    <n v="41"/>
    <n v="102"/>
    <n v="4182"/>
    <d v="1899-12-30T00:57:36"/>
    <n v="4014.72"/>
    <d v="2020-02-17T00:00:00"/>
    <d v="2020-02-17T00:00:00"/>
    <n v="39"/>
    <n v="7"/>
    <x v="2"/>
    <n v="0.09"/>
    <n v="361.32479999999998"/>
    <n v="4"/>
    <x v="0"/>
  </r>
  <r>
    <n v="40"/>
    <x v="16"/>
    <n v="47"/>
    <s v="Fortaleza"/>
    <x v="9"/>
    <n v="46"/>
    <n v="107"/>
    <n v="4922"/>
    <d v="1899-12-30T03:36:00"/>
    <n v="4183.7"/>
    <d v="2020-02-06T00:00:00"/>
    <d v="2020-02-06T00:00:00"/>
    <n v="40"/>
    <n v="6"/>
    <x v="1"/>
    <n v="0.05"/>
    <n v="209.185"/>
    <n v="5"/>
    <x v="0"/>
  </r>
  <r>
    <n v="41"/>
    <x v="16"/>
    <n v="77"/>
    <s v="Sorocaba"/>
    <x v="6"/>
    <n v="38"/>
    <n v="105"/>
    <n v="3990"/>
    <d v="1899-12-30T01:12:00"/>
    <n v="3790.5"/>
    <d v="2020-02-20T00:00:00"/>
    <d v="2020-02-20T00:00:00"/>
    <n v="41"/>
    <n v="7"/>
    <x v="6"/>
    <n v="0.09"/>
    <n v="341.14499999999998"/>
    <n v="6"/>
    <x v="0"/>
  </r>
  <r>
    <n v="42"/>
    <x v="16"/>
    <n v="8"/>
    <s v="São Paulo"/>
    <x v="4"/>
    <n v="48"/>
    <n v="111"/>
    <n v="5328"/>
    <d v="1899-12-30T02:38:24"/>
    <n v="4741.92"/>
    <d v="2020-02-06T00:00:00"/>
    <d v="2020-02-06T00:00:00"/>
    <n v="42"/>
    <n v="7"/>
    <x v="5"/>
    <n v="0.09"/>
    <n v="426.77280000000002"/>
    <n v="7"/>
    <x v="0"/>
  </r>
  <r>
    <n v="43"/>
    <x v="16"/>
    <n v="41"/>
    <s v="São João Del Rei"/>
    <x v="2"/>
    <n v="33"/>
    <n v="99"/>
    <n v="3267"/>
    <d v="1899-12-30T00:28:48"/>
    <n v="3201.66"/>
    <d v="2020-02-16T00:00:00"/>
    <d v="2020-02-16T00:00:00"/>
    <n v="43"/>
    <n v="5"/>
    <x v="0"/>
    <n v="0.05"/>
    <n v="160.083"/>
    <n v="1"/>
    <x v="0"/>
  </r>
  <r>
    <n v="44"/>
    <x v="17"/>
    <n v="41"/>
    <s v="São João Del Rei"/>
    <x v="5"/>
    <n v="22"/>
    <n v="117"/>
    <n v="2574"/>
    <d v="1899-12-30T02:52:48"/>
    <n v="2265.12"/>
    <d v="2020-02-23T00:00:00"/>
    <d v="2020-02-23T00:00:00"/>
    <n v="44"/>
    <n v="7"/>
    <x v="2"/>
    <n v="7.0000000000000007E-2"/>
    <n v="158.55840000000001"/>
    <n v="2"/>
    <x v="0"/>
  </r>
  <r>
    <n v="45"/>
    <x v="17"/>
    <n v="55"/>
    <s v="Manaus"/>
    <x v="4"/>
    <n v="31"/>
    <n v="110"/>
    <n v="3410"/>
    <d v="1899-12-30T00:57:36"/>
    <n v="3273.6"/>
    <d v="2020-01-28T00:00:00"/>
    <d v="2020-01-28T00:00:00"/>
    <n v="45"/>
    <n v="6"/>
    <x v="6"/>
    <n v="0.06"/>
    <n v="196.416"/>
    <n v="3"/>
    <x v="0"/>
  </r>
  <r>
    <n v="46"/>
    <x v="17"/>
    <n v="40"/>
    <s v="Goiânia"/>
    <x v="4"/>
    <n v="37"/>
    <n v="90"/>
    <n v="3330"/>
    <d v="1899-12-30T03:36:00"/>
    <n v="2830.5"/>
    <d v="2020-02-15T00:00:00"/>
    <d v="2020-02-15T00:00:00"/>
    <n v="46"/>
    <n v="1"/>
    <x v="4"/>
    <n v="0.1"/>
    <n v="283.05"/>
    <n v="4"/>
    <x v="0"/>
  </r>
  <r>
    <n v="47"/>
    <x v="17"/>
    <n v="47"/>
    <s v="Fortaleza"/>
    <x v="4"/>
    <n v="45"/>
    <n v="108"/>
    <n v="4860"/>
    <d v="1899-12-30T02:38:24"/>
    <n v="4325.3999999999996"/>
    <d v="2020-01-30T00:00:00"/>
    <d v="2020-01-30T00:00:00"/>
    <n v="47"/>
    <n v="6"/>
    <x v="9"/>
    <n v="0.1"/>
    <n v="432.53999999999996"/>
    <n v="5"/>
    <x v="0"/>
  </r>
  <r>
    <n v="48"/>
    <x v="18"/>
    <n v="36"/>
    <s v="Campo Largo"/>
    <x v="5"/>
    <n v="26"/>
    <n v="93"/>
    <n v="2418"/>
    <d v="1899-12-30T01:12:00"/>
    <n v="2297.1"/>
    <d v="2020-02-17T00:00:00"/>
    <d v="2020-02-17T00:00:00"/>
    <n v="48"/>
    <n v="7"/>
    <x v="4"/>
    <n v="0.09"/>
    <n v="206.73899999999998"/>
    <n v="6"/>
    <x v="0"/>
  </r>
  <r>
    <n v="49"/>
    <x v="19"/>
    <n v="44"/>
    <s v="Atibaia"/>
    <x v="8"/>
    <n v="44"/>
    <n v="92"/>
    <n v="4048"/>
    <d v="1899-12-30T00:57:36"/>
    <n v="3886.08"/>
    <d v="2020-02-28T00:00:00"/>
    <d v="2020-02-28T00:00:00"/>
    <n v="49"/>
    <n v="5"/>
    <x v="8"/>
    <n v="0.1"/>
    <n v="388.608"/>
    <n v="7"/>
    <x v="0"/>
  </r>
  <r>
    <n v="50"/>
    <x v="19"/>
    <n v="58"/>
    <s v="Natal"/>
    <x v="5"/>
    <n v="26"/>
    <n v="116"/>
    <n v="3016"/>
    <d v="1899-12-30T00:00:00"/>
    <n v="3016"/>
    <d v="2020-02-23T00:00:00"/>
    <d v="2020-02-23T00:00:00"/>
    <n v="50"/>
    <n v="1"/>
    <x v="1"/>
    <n v="0.1"/>
    <n v="301.60000000000002"/>
    <n v="1"/>
    <x v="0"/>
  </r>
  <r>
    <n v="51"/>
    <x v="19"/>
    <n v="38"/>
    <s v="Belo Horizonte"/>
    <x v="3"/>
    <n v="50"/>
    <n v="91"/>
    <n v="4550"/>
    <d v="1899-12-30T02:52:48"/>
    <n v="4004"/>
    <d v="2020-01-30T00:00:00"/>
    <d v="2020-01-30T00:00:00"/>
    <n v="51"/>
    <n v="7"/>
    <x v="0"/>
    <n v="0.09"/>
    <n v="360.36"/>
    <n v="2"/>
    <x v="0"/>
  </r>
  <r>
    <n v="52"/>
    <x v="19"/>
    <n v="94"/>
    <s v="Goiânia"/>
    <x v="6"/>
    <n v="30"/>
    <n v="103"/>
    <n v="3090"/>
    <d v="1899-12-30T01:26:24"/>
    <n v="2904.6"/>
    <d v="2020-02-10T00:00:00"/>
    <d v="2020-02-10T00:00:00"/>
    <n v="52"/>
    <n v="3"/>
    <x v="9"/>
    <n v="7.0000000000000007E-2"/>
    <n v="203.322"/>
    <n v="3"/>
    <x v="0"/>
  </r>
  <r>
    <n v="53"/>
    <x v="20"/>
    <n v="24"/>
    <s v="Viamão"/>
    <x v="3"/>
    <n v="44"/>
    <n v="94"/>
    <n v="4136"/>
    <d v="1899-12-30T01:55:12"/>
    <n v="3805.12"/>
    <d v="2020-02-25T00:00:00"/>
    <d v="2020-02-25T00:00:00"/>
    <n v="53"/>
    <n v="6"/>
    <x v="5"/>
    <n v="0.06"/>
    <n v="228.30719999999999"/>
    <n v="4"/>
    <x v="0"/>
  </r>
  <r>
    <n v="54"/>
    <x v="21"/>
    <n v="93"/>
    <s v="Salvador"/>
    <x v="5"/>
    <n v="41"/>
    <n v="103"/>
    <n v="4223"/>
    <d v="1899-12-30T02:24:00"/>
    <n v="3800.7"/>
    <d v="2020-02-08T00:00:00"/>
    <d v="2020-02-08T00:00:00"/>
    <n v="54"/>
    <n v="2"/>
    <x v="0"/>
    <n v="0.08"/>
    <n v="304.05599999999998"/>
    <n v="5"/>
    <x v="0"/>
  </r>
  <r>
    <n v="55"/>
    <x v="21"/>
    <n v="95"/>
    <s v="São Paulo"/>
    <x v="4"/>
    <n v="11"/>
    <n v="105"/>
    <n v="1155"/>
    <d v="1899-12-30T01:26:24"/>
    <n v="1085.7"/>
    <d v="2020-02-11T00:00:00"/>
    <d v="2020-02-11T00:00:00"/>
    <n v="55"/>
    <n v="4"/>
    <x v="2"/>
    <n v="7.0000000000000007E-2"/>
    <n v="75.999000000000009"/>
    <n v="6"/>
    <x v="0"/>
  </r>
  <r>
    <n v="56"/>
    <x v="21"/>
    <n v="13"/>
    <s v="Contagem"/>
    <x v="1"/>
    <n v="45"/>
    <n v="106"/>
    <n v="4770"/>
    <d v="1899-12-30T02:52:48"/>
    <n v="4197.6000000000004"/>
    <d v="2020-02-25T00:00:00"/>
    <d v="2020-02-25T00:00:00"/>
    <n v="56"/>
    <n v="6"/>
    <x v="1"/>
    <n v="0.05"/>
    <n v="209.88000000000002"/>
    <n v="7"/>
    <x v="0"/>
  </r>
  <r>
    <n v="57"/>
    <x v="22"/>
    <n v="33"/>
    <s v="Ituiutaba"/>
    <x v="6"/>
    <n v="35"/>
    <n v="101"/>
    <n v="3535"/>
    <d v="1899-12-30T03:07:12"/>
    <n v="3075.45"/>
    <d v="2020-02-27T00:00:00"/>
    <d v="2020-02-27T00:00:00"/>
    <n v="57"/>
    <n v="4"/>
    <x v="3"/>
    <n v="0.08"/>
    <n v="246.036"/>
    <n v="1"/>
    <x v="1"/>
  </r>
  <r>
    <n v="58"/>
    <x v="22"/>
    <n v="52"/>
    <s v="São Luís"/>
    <x v="7"/>
    <n v="15"/>
    <n v="104"/>
    <n v="1560"/>
    <d v="1899-12-30T02:52:48"/>
    <n v="1372.8"/>
    <d v="2020-02-21T00:00:00"/>
    <d v="2020-02-21T00:00:00"/>
    <n v="58"/>
    <n v="4"/>
    <x v="6"/>
    <n v="0.08"/>
    <n v="109.824"/>
    <n v="2"/>
    <x v="1"/>
  </r>
  <r>
    <n v="59"/>
    <x v="23"/>
    <n v="15"/>
    <s v="Vila Velha"/>
    <x v="1"/>
    <n v="13"/>
    <n v="116"/>
    <n v="1508"/>
    <d v="1899-12-30T03:21:36"/>
    <n v="1296.8799999999999"/>
    <d v="2020-03-01T00:00:00"/>
    <d v="2020-03-01T00:00:00"/>
    <n v="59"/>
    <n v="3"/>
    <x v="2"/>
    <n v="7.0000000000000007E-2"/>
    <n v="90.781599999999997"/>
    <n v="3"/>
    <x v="1"/>
  </r>
  <r>
    <n v="60"/>
    <x v="24"/>
    <n v="13"/>
    <s v="Contagem"/>
    <x v="3"/>
    <n v="43"/>
    <n v="98"/>
    <n v="4214"/>
    <d v="1899-12-30T01:55:12"/>
    <n v="3876.88"/>
    <d v="2020-02-18T00:00:00"/>
    <d v="2020-02-18T00:00:00"/>
    <n v="60"/>
    <n v="1"/>
    <x v="4"/>
    <n v="7.0000000000000007E-2"/>
    <n v="271.38160000000005"/>
    <n v="4"/>
    <x v="1"/>
  </r>
  <r>
    <n v="61"/>
    <x v="24"/>
    <n v="89"/>
    <s v="Goiânia"/>
    <x v="4"/>
    <n v="28"/>
    <n v="102"/>
    <n v="2856"/>
    <d v="1899-12-30T00:00:00"/>
    <n v="2856"/>
    <d v="2020-02-29T00:00:00"/>
    <d v="2020-02-29T00:00:00"/>
    <n v="61"/>
    <n v="2"/>
    <x v="7"/>
    <n v="0.09"/>
    <n v="257.03999999999996"/>
    <n v="5"/>
    <x v="1"/>
  </r>
  <r>
    <n v="62"/>
    <x v="25"/>
    <n v="64"/>
    <s v="Juazeiro"/>
    <x v="6"/>
    <n v="16"/>
    <n v="112"/>
    <n v="1792"/>
    <d v="1899-12-30T00:57:36"/>
    <n v="1720.32"/>
    <d v="2020-02-08T00:00:00"/>
    <d v="2020-02-08T00:00:00"/>
    <n v="62"/>
    <n v="4"/>
    <x v="8"/>
    <n v="0.05"/>
    <n v="86.016000000000005"/>
    <n v="6"/>
    <x v="1"/>
  </r>
  <r>
    <n v="63"/>
    <x v="25"/>
    <n v="54"/>
    <s v="São Gonçalo"/>
    <x v="7"/>
    <n v="42"/>
    <n v="102"/>
    <n v="4284"/>
    <d v="1899-12-30T01:12:00"/>
    <n v="4069.8"/>
    <d v="2020-02-24T00:00:00"/>
    <d v="2020-02-24T00:00:00"/>
    <n v="63"/>
    <n v="2"/>
    <x v="6"/>
    <n v="0.05"/>
    <n v="203.49"/>
    <n v="7"/>
    <x v="1"/>
  </r>
  <r>
    <n v="64"/>
    <x v="26"/>
    <n v="41"/>
    <s v="São João Del Rei"/>
    <x v="2"/>
    <n v="32"/>
    <n v="110"/>
    <n v="3520"/>
    <d v="1899-12-30T00:00:00"/>
    <n v="3520"/>
    <d v="2020-02-16T00:00:00"/>
    <d v="2020-02-16T00:00:00"/>
    <n v="64"/>
    <n v="4"/>
    <x v="6"/>
    <n v="0.06"/>
    <n v="211.2"/>
    <n v="1"/>
    <x v="1"/>
  </r>
  <r>
    <n v="65"/>
    <x v="26"/>
    <n v="65"/>
    <s v="Ariquemes"/>
    <x v="0"/>
    <n v="17"/>
    <n v="93"/>
    <n v="1581"/>
    <d v="1899-12-30T00:28:48"/>
    <n v="1549.38"/>
    <d v="2020-02-10T00:00:00"/>
    <d v="2020-02-10T00:00:00"/>
    <n v="65"/>
    <n v="5"/>
    <x v="4"/>
    <n v="0.05"/>
    <n v="77.469000000000008"/>
    <n v="2"/>
    <x v="1"/>
  </r>
  <r>
    <n v="66"/>
    <x v="26"/>
    <n v="94"/>
    <s v="Goiânia"/>
    <x v="3"/>
    <n v="23"/>
    <n v="107"/>
    <n v="2461"/>
    <d v="1899-12-30T02:24:00"/>
    <n v="2214.9"/>
    <d v="2020-02-16T00:00:00"/>
    <d v="2020-02-16T00:00:00"/>
    <n v="66"/>
    <n v="1"/>
    <x v="1"/>
    <n v="0.05"/>
    <n v="110.745"/>
    <n v="3"/>
    <x v="1"/>
  </r>
  <r>
    <n v="67"/>
    <x v="26"/>
    <n v="47"/>
    <s v="Fortaleza"/>
    <x v="3"/>
    <n v="35"/>
    <n v="93"/>
    <n v="3255"/>
    <d v="1899-12-30T03:21:36"/>
    <n v="2799.3"/>
    <d v="2020-02-25T00:00:00"/>
    <d v="2020-02-25T00:00:00"/>
    <n v="67"/>
    <n v="5"/>
    <x v="8"/>
    <n v="0.1"/>
    <n v="279.93"/>
    <n v="4"/>
    <x v="1"/>
  </r>
  <r>
    <n v="68"/>
    <x v="26"/>
    <n v="69"/>
    <s v="Rio de Janeiro"/>
    <x v="6"/>
    <n v="45"/>
    <n v="119"/>
    <n v="5355"/>
    <d v="1899-12-30T01:12:00"/>
    <n v="5087.25"/>
    <d v="2020-02-24T00:00:00"/>
    <d v="2020-02-24T00:00:00"/>
    <n v="68"/>
    <n v="1"/>
    <x v="1"/>
    <n v="0.05"/>
    <n v="254.36250000000001"/>
    <n v="5"/>
    <x v="1"/>
  </r>
  <r>
    <n v="69"/>
    <x v="26"/>
    <n v="39"/>
    <s v="São Paulo"/>
    <x v="7"/>
    <n v="32"/>
    <n v="117"/>
    <n v="3744"/>
    <d v="1899-12-30T03:21:36"/>
    <n v="3219.84"/>
    <d v="2020-02-23T00:00:00"/>
    <d v="2020-02-23T00:00:00"/>
    <n v="69"/>
    <n v="1"/>
    <x v="7"/>
    <n v="0.09"/>
    <n v="289.78559999999999"/>
    <n v="6"/>
    <x v="1"/>
  </r>
  <r>
    <n v="70"/>
    <x v="27"/>
    <n v="94"/>
    <s v="Goiânia"/>
    <x v="3"/>
    <n v="40"/>
    <n v="99"/>
    <n v="3960"/>
    <d v="1899-12-30T00:14:24"/>
    <n v="3920.4"/>
    <d v="2020-02-14T00:00:00"/>
    <d v="2020-02-14T00:00:00"/>
    <n v="70"/>
    <n v="3"/>
    <x v="4"/>
    <n v="0.08"/>
    <n v="313.63200000000001"/>
    <n v="7"/>
    <x v="1"/>
  </r>
  <r>
    <n v="71"/>
    <x v="27"/>
    <n v="17"/>
    <s v="Rio de Janeiro"/>
    <x v="9"/>
    <n v="43"/>
    <n v="106"/>
    <n v="4558"/>
    <d v="1899-12-30T01:55:12"/>
    <n v="4193.3599999999997"/>
    <d v="2020-02-19T00:00:00"/>
    <d v="2020-02-19T00:00:00"/>
    <n v="71"/>
    <n v="7"/>
    <x v="0"/>
    <n v="0.09"/>
    <n v="377.40239999999994"/>
    <n v="1"/>
    <x v="1"/>
  </r>
  <r>
    <n v="72"/>
    <x v="28"/>
    <n v="73"/>
    <s v="São Paulo"/>
    <x v="4"/>
    <n v="11"/>
    <n v="120"/>
    <n v="1320"/>
    <d v="1899-12-30T00:28:48"/>
    <n v="1293.5999999999999"/>
    <d v="2020-02-26T00:00:00"/>
    <d v="2020-02-26T00:00:00"/>
    <n v="72"/>
    <n v="4"/>
    <x v="2"/>
    <n v="0.1"/>
    <n v="129.35999999999999"/>
    <n v="2"/>
    <x v="1"/>
  </r>
  <r>
    <n v="73"/>
    <x v="28"/>
    <n v="63"/>
    <s v="Catanduva"/>
    <x v="1"/>
    <n v="30"/>
    <n v="107"/>
    <n v="3210"/>
    <d v="1899-12-30T00:00:00"/>
    <n v="3210"/>
    <d v="2020-02-18T00:00:00"/>
    <d v="2020-02-18T00:00:00"/>
    <n v="73"/>
    <n v="1"/>
    <x v="8"/>
    <n v="7.0000000000000007E-2"/>
    <n v="224.70000000000002"/>
    <n v="3"/>
    <x v="1"/>
  </r>
  <r>
    <n v="74"/>
    <x v="29"/>
    <n v="69"/>
    <s v="Rio de Janeiro"/>
    <x v="2"/>
    <n v="23"/>
    <n v="94"/>
    <n v="2162"/>
    <d v="1899-12-30T02:52:48"/>
    <n v="1902.56"/>
    <d v="2020-02-24T00:00:00"/>
    <d v="2020-02-24T00:00:00"/>
    <n v="74"/>
    <n v="3"/>
    <x v="2"/>
    <n v="0.06"/>
    <n v="114.1536"/>
    <n v="4"/>
    <x v="1"/>
  </r>
  <r>
    <n v="75"/>
    <x v="29"/>
    <n v="19"/>
    <s v="São Paulo"/>
    <x v="0"/>
    <n v="34"/>
    <n v="104"/>
    <n v="3536"/>
    <d v="1899-12-30T02:24:00"/>
    <n v="3182.4"/>
    <d v="2020-02-24T00:00:00"/>
    <d v="2020-02-24T00:00:00"/>
    <n v="75"/>
    <n v="2"/>
    <x v="7"/>
    <n v="7.0000000000000007E-2"/>
    <n v="222.76800000000003"/>
    <n v="5"/>
    <x v="1"/>
  </r>
  <r>
    <n v="76"/>
    <x v="30"/>
    <n v="87"/>
    <s v="Fortaleza"/>
    <x v="8"/>
    <n v="42"/>
    <n v="106"/>
    <n v="4452"/>
    <d v="1899-12-30T01:26:24"/>
    <n v="4184.88"/>
    <d v="2020-03-12T00:00:00"/>
    <d v="2020-03-12T00:00:00"/>
    <n v="76"/>
    <n v="3"/>
    <x v="6"/>
    <n v="7.0000000000000007E-2"/>
    <n v="292.94160000000005"/>
    <n v="6"/>
    <x v="1"/>
  </r>
  <r>
    <n v="77"/>
    <x v="30"/>
    <n v="33"/>
    <s v="Ituiutaba"/>
    <x v="1"/>
    <n v="10"/>
    <n v="91"/>
    <n v="910"/>
    <d v="1899-12-30T02:24:00"/>
    <n v="819"/>
    <d v="2020-03-07T00:00:00"/>
    <d v="2020-03-07T00:00:00"/>
    <n v="77"/>
    <n v="4"/>
    <x v="8"/>
    <n v="0.09"/>
    <n v="73.709999999999994"/>
    <n v="7"/>
    <x v="1"/>
  </r>
  <r>
    <n v="78"/>
    <x v="31"/>
    <n v="9"/>
    <s v="Governador Valadares"/>
    <x v="0"/>
    <n v="34"/>
    <n v="99"/>
    <n v="3366"/>
    <d v="1899-12-30T03:21:36"/>
    <n v="2894.7599999999998"/>
    <d v="2020-02-25T00:00:00"/>
    <d v="2020-02-25T00:00:00"/>
    <n v="78"/>
    <n v="1"/>
    <x v="3"/>
    <n v="7.0000000000000007E-2"/>
    <n v="202.63320000000002"/>
    <n v="1"/>
    <x v="1"/>
  </r>
  <r>
    <n v="79"/>
    <x v="32"/>
    <n v="50"/>
    <s v="Patos de Minas"/>
    <x v="7"/>
    <n v="13"/>
    <n v="112"/>
    <n v="1456"/>
    <d v="1899-12-30T01:12:00"/>
    <n v="1383.2"/>
    <d v="2020-03-02T00:00:00"/>
    <d v="2020-03-02T00:00:00"/>
    <n v="79"/>
    <n v="2"/>
    <x v="5"/>
    <n v="0.06"/>
    <n v="82.992000000000004"/>
    <n v="2"/>
    <x v="1"/>
  </r>
  <r>
    <n v="80"/>
    <x v="33"/>
    <n v="75"/>
    <s v="São Paulo"/>
    <x v="9"/>
    <n v="36"/>
    <n v="105"/>
    <n v="3780"/>
    <d v="1899-12-30T00:57:36"/>
    <n v="3628.8"/>
    <d v="2020-03-11T00:00:00"/>
    <d v="2020-03-11T00:00:00"/>
    <n v="80"/>
    <n v="1"/>
    <x v="7"/>
    <n v="0.05"/>
    <n v="181.44000000000003"/>
    <n v="3"/>
    <x v="1"/>
  </r>
  <r>
    <n v="81"/>
    <x v="33"/>
    <n v="40"/>
    <s v="Goiânia"/>
    <x v="8"/>
    <n v="17"/>
    <n v="95"/>
    <n v="1615"/>
    <d v="1899-12-30T02:24:00"/>
    <n v="1453.5"/>
    <d v="2020-02-23T00:00:00"/>
    <d v="2020-02-23T00:00:00"/>
    <n v="81"/>
    <n v="1"/>
    <x v="7"/>
    <n v="0.08"/>
    <n v="116.28"/>
    <n v="4"/>
    <x v="1"/>
  </r>
  <r>
    <n v="82"/>
    <x v="33"/>
    <n v="60"/>
    <s v="Serra"/>
    <x v="0"/>
    <n v="44"/>
    <n v="97"/>
    <n v="4268"/>
    <d v="1899-12-30T01:55:12"/>
    <n v="3926.56"/>
    <d v="2020-03-17T00:00:00"/>
    <d v="2020-03-17T00:00:00"/>
    <n v="82"/>
    <n v="1"/>
    <x v="5"/>
    <n v="0.1"/>
    <n v="392.65600000000001"/>
    <n v="5"/>
    <x v="1"/>
  </r>
  <r>
    <n v="83"/>
    <x v="34"/>
    <n v="95"/>
    <s v="São Paulo"/>
    <x v="4"/>
    <n v="35"/>
    <n v="99"/>
    <n v="3465"/>
    <d v="1899-12-30T03:36:00"/>
    <n v="2945.25"/>
    <d v="2020-03-19T00:00:00"/>
    <d v="2020-03-19T00:00:00"/>
    <n v="83"/>
    <n v="6"/>
    <x v="8"/>
    <n v="0.08"/>
    <n v="235.62"/>
    <n v="6"/>
    <x v="1"/>
  </r>
  <r>
    <n v="84"/>
    <x v="34"/>
    <n v="79"/>
    <s v="Salvador"/>
    <x v="1"/>
    <n v="11"/>
    <n v="102"/>
    <n v="1122"/>
    <d v="1899-12-30T03:07:12"/>
    <n v="976.14"/>
    <d v="2020-03-17T00:00:00"/>
    <d v="2020-03-17T00:00:00"/>
    <n v="84"/>
    <n v="5"/>
    <x v="3"/>
    <n v="0.1"/>
    <n v="97.614000000000004"/>
    <n v="7"/>
    <x v="1"/>
  </r>
  <r>
    <n v="85"/>
    <x v="34"/>
    <n v="60"/>
    <s v="Serra"/>
    <x v="3"/>
    <n v="27"/>
    <n v="103"/>
    <n v="2781"/>
    <d v="1899-12-30T01:55:12"/>
    <n v="2558.52"/>
    <d v="2020-02-24T00:00:00"/>
    <d v="2020-02-24T00:00:00"/>
    <n v="85"/>
    <n v="4"/>
    <x v="4"/>
    <n v="0.09"/>
    <n v="230.26679999999999"/>
    <n v="1"/>
    <x v="1"/>
  </r>
  <r>
    <n v="86"/>
    <x v="34"/>
    <n v="47"/>
    <s v="Fortaleza"/>
    <x v="9"/>
    <n v="14"/>
    <n v="94"/>
    <n v="1316"/>
    <d v="1899-12-30T01:55:12"/>
    <n v="1210.72"/>
    <d v="2020-03-15T00:00:00"/>
    <d v="2020-03-15T00:00:00"/>
    <n v="86"/>
    <n v="3"/>
    <x v="1"/>
    <n v="0.1"/>
    <n v="121.072"/>
    <n v="2"/>
    <x v="1"/>
  </r>
  <r>
    <n v="87"/>
    <x v="35"/>
    <n v="38"/>
    <s v="Belo Horizonte"/>
    <x v="9"/>
    <n v="44"/>
    <n v="118"/>
    <n v="5192"/>
    <d v="1899-12-30T03:36:00"/>
    <n v="4413.2"/>
    <d v="2020-03-20T00:00:00"/>
    <d v="2020-03-20T00:00:00"/>
    <n v="87"/>
    <n v="2"/>
    <x v="2"/>
    <n v="0.06"/>
    <n v="264.79199999999997"/>
    <n v="3"/>
    <x v="1"/>
  </r>
  <r>
    <n v="88"/>
    <x v="35"/>
    <n v="47"/>
    <s v="Fortaleza"/>
    <x v="6"/>
    <n v="44"/>
    <n v="111"/>
    <n v="4884"/>
    <d v="1899-12-30T00:43:12"/>
    <n v="4737.4799999999996"/>
    <d v="2020-03-18T00:00:00"/>
    <d v="2020-03-18T00:00:00"/>
    <n v="88"/>
    <n v="6"/>
    <x v="8"/>
    <n v="0.06"/>
    <n v="284.24879999999996"/>
    <n v="4"/>
    <x v="1"/>
  </r>
  <r>
    <n v="89"/>
    <x v="35"/>
    <n v="18"/>
    <s v="Bagé"/>
    <x v="5"/>
    <n v="24"/>
    <n v="116"/>
    <n v="2784"/>
    <d v="1899-12-30T03:07:12"/>
    <n v="2422.08"/>
    <d v="2020-03-09T00:00:00"/>
    <d v="2020-03-09T00:00:00"/>
    <n v="89"/>
    <n v="4"/>
    <x v="4"/>
    <n v="0.06"/>
    <n v="145.32479999999998"/>
    <n v="5"/>
    <x v="1"/>
  </r>
  <r>
    <n v="90"/>
    <x v="35"/>
    <n v="99"/>
    <s v="Foz do Iguaçu"/>
    <x v="4"/>
    <n v="47"/>
    <n v="105"/>
    <n v="4935"/>
    <d v="1899-12-30T00:28:48"/>
    <n v="4836.3"/>
    <d v="2020-02-19T00:00:00"/>
    <d v="2020-02-19T00:00:00"/>
    <n v="90"/>
    <n v="1"/>
    <x v="9"/>
    <n v="7.0000000000000007E-2"/>
    <n v="338.54100000000005"/>
    <n v="6"/>
    <x v="1"/>
  </r>
  <r>
    <n v="91"/>
    <x v="36"/>
    <n v="31"/>
    <s v="Juiz de Fora"/>
    <x v="1"/>
    <n v="18"/>
    <n v="100"/>
    <n v="1800"/>
    <d v="1899-12-30T00:28:48"/>
    <n v="1764"/>
    <d v="2020-02-23T00:00:00"/>
    <d v="2020-02-23T00:00:00"/>
    <n v="91"/>
    <n v="2"/>
    <x v="0"/>
    <n v="7.0000000000000007E-2"/>
    <n v="123.48000000000002"/>
    <n v="7"/>
    <x v="1"/>
  </r>
  <r>
    <n v="92"/>
    <x v="37"/>
    <n v="61"/>
    <s v="Petrópolis"/>
    <x v="9"/>
    <n v="37"/>
    <n v="96"/>
    <n v="3552"/>
    <d v="1899-12-30T03:36:00"/>
    <n v="3019.2"/>
    <d v="2020-02-21T00:00:00"/>
    <d v="2020-02-21T00:00:00"/>
    <n v="92"/>
    <n v="4"/>
    <x v="0"/>
    <n v="7.0000000000000007E-2"/>
    <n v="211.34399999999999"/>
    <n v="1"/>
    <x v="1"/>
  </r>
  <r>
    <n v="93"/>
    <x v="38"/>
    <n v="52"/>
    <s v="São Luís"/>
    <x v="3"/>
    <n v="34"/>
    <n v="112"/>
    <n v="3808"/>
    <d v="1899-12-30T01:55:12"/>
    <n v="3503.36"/>
    <d v="2020-03-14T00:00:00"/>
    <d v="2020-03-14T00:00:00"/>
    <n v="93"/>
    <n v="3"/>
    <x v="8"/>
    <n v="0.06"/>
    <n v="210.20160000000001"/>
    <n v="2"/>
    <x v="1"/>
  </r>
  <r>
    <n v="94"/>
    <x v="38"/>
    <n v="41"/>
    <s v="São João Del Rei"/>
    <x v="0"/>
    <n v="41"/>
    <n v="107"/>
    <n v="4387"/>
    <d v="1899-12-30T01:40:48"/>
    <n v="4079.91"/>
    <d v="2020-02-29T00:00:00"/>
    <d v="2020-02-29T00:00:00"/>
    <n v="94"/>
    <n v="5"/>
    <x v="7"/>
    <n v="0.05"/>
    <n v="203.99549999999999"/>
    <n v="3"/>
    <x v="1"/>
  </r>
  <r>
    <n v="95"/>
    <x v="38"/>
    <n v="35"/>
    <s v="São Paulo"/>
    <x v="3"/>
    <n v="32"/>
    <n v="118"/>
    <n v="3776"/>
    <d v="1899-12-30T00:14:24"/>
    <n v="3738.24"/>
    <d v="2020-03-05T00:00:00"/>
    <d v="2020-03-05T00:00:00"/>
    <n v="95"/>
    <n v="6"/>
    <x v="1"/>
    <n v="0.1"/>
    <n v="373.82400000000001"/>
    <n v="4"/>
    <x v="1"/>
  </r>
  <r>
    <n v="96"/>
    <x v="39"/>
    <n v="89"/>
    <s v="Goiânia"/>
    <x v="3"/>
    <n v="44"/>
    <n v="96"/>
    <n v="4224"/>
    <d v="1899-12-30T03:07:12"/>
    <n v="3674.88"/>
    <d v="2020-02-24T00:00:00"/>
    <d v="2020-02-24T00:00:00"/>
    <n v="96"/>
    <n v="6"/>
    <x v="8"/>
    <n v="0.06"/>
    <n v="220.49279999999999"/>
    <n v="5"/>
    <x v="1"/>
  </r>
  <r>
    <n v="97"/>
    <x v="39"/>
    <n v="8"/>
    <s v="São Paulo"/>
    <x v="2"/>
    <n v="35"/>
    <n v="90"/>
    <n v="3150"/>
    <d v="1899-12-30T00:28:48"/>
    <n v="3087"/>
    <d v="2020-03-24T00:00:00"/>
    <d v="2020-03-24T00:00:00"/>
    <n v="97"/>
    <n v="6"/>
    <x v="0"/>
    <n v="0.05"/>
    <n v="154.35000000000002"/>
    <n v="6"/>
    <x v="1"/>
  </r>
  <r>
    <n v="98"/>
    <x v="39"/>
    <n v="28"/>
    <s v="João Pessoa"/>
    <x v="3"/>
    <n v="14"/>
    <n v="112"/>
    <n v="1568"/>
    <d v="1899-12-30T03:21:36"/>
    <n v="1348.48"/>
    <d v="2020-02-27T00:00:00"/>
    <d v="2020-02-27T00:00:00"/>
    <n v="98"/>
    <n v="6"/>
    <x v="7"/>
    <n v="0.05"/>
    <n v="67.424000000000007"/>
    <n v="7"/>
    <x v="1"/>
  </r>
  <r>
    <n v="99"/>
    <x v="39"/>
    <n v="31"/>
    <s v="Juiz de Fora"/>
    <x v="9"/>
    <n v="13"/>
    <n v="111"/>
    <n v="1443"/>
    <d v="1899-12-30T00:28:48"/>
    <n v="1414.14"/>
    <d v="2020-02-25T00:00:00"/>
    <d v="2020-02-25T00:00:00"/>
    <n v="99"/>
    <n v="1"/>
    <x v="6"/>
    <n v="0.06"/>
    <n v="84.848399999999998"/>
    <n v="1"/>
    <x v="1"/>
  </r>
  <r>
    <n v="100"/>
    <x v="40"/>
    <n v="25"/>
    <s v="Belém"/>
    <x v="6"/>
    <n v="20"/>
    <n v="116"/>
    <n v="2320"/>
    <d v="1899-12-30T02:24:00"/>
    <n v="2088"/>
    <d v="2020-02-25T00:00:00"/>
    <d v="2020-02-25T00:00:00"/>
    <n v="100"/>
    <n v="2"/>
    <x v="8"/>
    <n v="0.1"/>
    <n v="208.8"/>
    <n v="2"/>
    <x v="1"/>
  </r>
  <r>
    <n v="101"/>
    <x v="41"/>
    <n v="85"/>
    <s v="Piraquara"/>
    <x v="8"/>
    <n v="27"/>
    <n v="119"/>
    <n v="3213"/>
    <d v="1899-12-30T02:24:00"/>
    <n v="2891.7"/>
    <d v="2020-03-26T00:00:00"/>
    <d v="2020-03-26T00:00:00"/>
    <n v="101"/>
    <n v="4"/>
    <x v="1"/>
    <n v="0.06"/>
    <n v="173.50199999999998"/>
    <n v="3"/>
    <x v="1"/>
  </r>
  <r>
    <n v="102"/>
    <x v="41"/>
    <n v="8"/>
    <s v="São Paulo"/>
    <x v="2"/>
    <n v="10"/>
    <n v="111"/>
    <n v="1110"/>
    <d v="1899-12-30T02:38:24"/>
    <n v="987.9"/>
    <d v="2020-03-16T00:00:00"/>
    <d v="2020-03-16T00:00:00"/>
    <n v="102"/>
    <n v="1"/>
    <x v="6"/>
    <n v="0.08"/>
    <n v="79.031999999999996"/>
    <n v="4"/>
    <x v="1"/>
  </r>
  <r>
    <n v="103"/>
    <x v="42"/>
    <n v="21"/>
    <s v="Vitória"/>
    <x v="6"/>
    <n v="13"/>
    <n v="112"/>
    <n v="1456"/>
    <d v="1899-12-30T03:36:00"/>
    <n v="1237.5999999999999"/>
    <d v="2020-03-16T00:00:00"/>
    <d v="2020-03-16T00:00:00"/>
    <n v="103"/>
    <n v="3"/>
    <x v="6"/>
    <n v="0.08"/>
    <n v="99.007999999999996"/>
    <n v="5"/>
    <x v="1"/>
  </r>
  <r>
    <n v="104"/>
    <x v="43"/>
    <n v="34"/>
    <s v="Brusque"/>
    <x v="5"/>
    <n v="17"/>
    <n v="96"/>
    <n v="1632"/>
    <d v="1899-12-30T01:40:48"/>
    <n v="1517.76"/>
    <d v="2020-03-01T00:00:00"/>
    <d v="2020-03-01T00:00:00"/>
    <n v="104"/>
    <n v="4"/>
    <x v="1"/>
    <n v="7.0000000000000007E-2"/>
    <n v="106.24320000000002"/>
    <n v="6"/>
    <x v="1"/>
  </r>
  <r>
    <n v="105"/>
    <x v="43"/>
    <n v="53"/>
    <s v="Jaú"/>
    <x v="4"/>
    <n v="29"/>
    <n v="102"/>
    <n v="2958"/>
    <d v="1899-12-30T03:07:12"/>
    <n v="2573.46"/>
    <d v="2020-03-21T00:00:00"/>
    <d v="2020-03-21T00:00:00"/>
    <n v="105"/>
    <n v="7"/>
    <x v="7"/>
    <n v="0.05"/>
    <n v="128.673"/>
    <n v="7"/>
    <x v="1"/>
  </r>
  <r>
    <n v="106"/>
    <x v="44"/>
    <n v="10"/>
    <s v="Campinas"/>
    <x v="8"/>
    <n v="10"/>
    <n v="98"/>
    <n v="980"/>
    <d v="1899-12-30T01:40:48"/>
    <n v="911.4"/>
    <d v="2020-03-09T00:00:00"/>
    <d v="2020-03-09T00:00:00"/>
    <n v="106"/>
    <n v="1"/>
    <x v="0"/>
    <n v="0.1"/>
    <n v="91.14"/>
    <n v="1"/>
    <x v="2"/>
  </r>
  <r>
    <n v="107"/>
    <x v="45"/>
    <n v="70"/>
    <s v="Rio de Janeiro"/>
    <x v="2"/>
    <n v="20"/>
    <n v="119"/>
    <n v="2380"/>
    <d v="1899-12-30T01:12:00"/>
    <n v="2261"/>
    <d v="2020-03-24T00:00:00"/>
    <d v="2020-03-24T00:00:00"/>
    <n v="107"/>
    <n v="3"/>
    <x v="9"/>
    <n v="0.09"/>
    <n v="203.48999999999998"/>
    <n v="2"/>
    <x v="2"/>
  </r>
  <r>
    <n v="108"/>
    <x v="46"/>
    <n v="95"/>
    <s v="São Paulo"/>
    <x v="0"/>
    <n v="31"/>
    <n v="115"/>
    <n v="3565"/>
    <d v="1899-12-30T02:09:36"/>
    <n v="3244.15"/>
    <d v="2020-03-19T00:00:00"/>
    <d v="2020-03-19T00:00:00"/>
    <n v="108"/>
    <n v="4"/>
    <x v="6"/>
    <n v="0.06"/>
    <n v="194.649"/>
    <n v="3"/>
    <x v="2"/>
  </r>
  <r>
    <n v="109"/>
    <x v="47"/>
    <n v="69"/>
    <s v="Rio de Janeiro"/>
    <x v="0"/>
    <n v="35"/>
    <n v="116"/>
    <n v="4060"/>
    <d v="1899-12-30T03:21:36"/>
    <n v="3491.6"/>
    <d v="2020-03-27T00:00:00"/>
    <d v="2020-03-27T00:00:00"/>
    <n v="109"/>
    <n v="1"/>
    <x v="1"/>
    <n v="0.06"/>
    <n v="209.49599999999998"/>
    <n v="4"/>
    <x v="2"/>
  </r>
  <r>
    <n v="110"/>
    <x v="47"/>
    <n v="18"/>
    <s v="Bagé"/>
    <x v="5"/>
    <n v="33"/>
    <n v="105"/>
    <n v="3465"/>
    <d v="1899-12-30T00:43:12"/>
    <n v="3361.05"/>
    <d v="2020-04-03T00:00:00"/>
    <d v="2020-04-03T00:00:00"/>
    <n v="110"/>
    <n v="3"/>
    <x v="6"/>
    <n v="0.09"/>
    <n v="302.49450000000002"/>
    <n v="5"/>
    <x v="2"/>
  </r>
  <r>
    <n v="111"/>
    <x v="47"/>
    <n v="86"/>
    <s v="Jataí"/>
    <x v="3"/>
    <n v="50"/>
    <n v="103"/>
    <n v="5150"/>
    <d v="1899-12-30T02:38:24"/>
    <n v="4583.5"/>
    <d v="2020-03-25T00:00:00"/>
    <d v="2020-03-25T00:00:00"/>
    <n v="111"/>
    <n v="2"/>
    <x v="7"/>
    <n v="0.1"/>
    <n v="458.35"/>
    <n v="6"/>
    <x v="2"/>
  </r>
  <r>
    <n v="112"/>
    <x v="48"/>
    <n v="18"/>
    <s v="Bagé"/>
    <x v="1"/>
    <n v="42"/>
    <n v="98"/>
    <n v="4116"/>
    <d v="1899-12-30T02:38:24"/>
    <n v="3663.24"/>
    <d v="2020-03-10T00:00:00"/>
    <d v="2020-03-10T00:00:00"/>
    <n v="112"/>
    <n v="5"/>
    <x v="1"/>
    <n v="0.09"/>
    <n v="329.69159999999999"/>
    <n v="7"/>
    <x v="2"/>
  </r>
  <r>
    <n v="113"/>
    <x v="48"/>
    <n v="41"/>
    <s v="São João Del Rei"/>
    <x v="7"/>
    <n v="49"/>
    <n v="102"/>
    <n v="4998"/>
    <d v="1899-12-30T02:09:36"/>
    <n v="4548.18"/>
    <d v="2020-03-15T00:00:00"/>
    <d v="2020-03-15T00:00:00"/>
    <n v="113"/>
    <n v="4"/>
    <x v="5"/>
    <n v="0.06"/>
    <n v="272.89080000000001"/>
    <n v="1"/>
    <x v="2"/>
  </r>
  <r>
    <n v="114"/>
    <x v="48"/>
    <n v="3"/>
    <s v="Barbacena"/>
    <x v="1"/>
    <n v="11"/>
    <n v="109"/>
    <n v="1199"/>
    <d v="1899-12-30T00:28:48"/>
    <n v="1175.02"/>
    <d v="2020-03-17T00:00:00"/>
    <d v="2020-03-17T00:00:00"/>
    <n v="114"/>
    <n v="5"/>
    <x v="2"/>
    <n v="7.0000000000000007E-2"/>
    <n v="82.251400000000004"/>
    <n v="2"/>
    <x v="2"/>
  </r>
  <r>
    <n v="115"/>
    <x v="49"/>
    <n v="56"/>
    <s v="Rio de Janeiro"/>
    <x v="0"/>
    <n v="50"/>
    <n v="98"/>
    <n v="4900"/>
    <d v="1899-12-30T00:57:36"/>
    <n v="4704"/>
    <d v="2020-03-26T00:00:00"/>
    <d v="2020-03-26T00:00:00"/>
    <n v="115"/>
    <n v="2"/>
    <x v="6"/>
    <n v="0.08"/>
    <n v="376.32"/>
    <n v="3"/>
    <x v="2"/>
  </r>
  <r>
    <n v="116"/>
    <x v="49"/>
    <n v="42"/>
    <s v="Mauá"/>
    <x v="0"/>
    <n v="50"/>
    <n v="99"/>
    <n v="4950"/>
    <d v="1899-12-30T01:55:12"/>
    <n v="4554"/>
    <d v="2020-03-28T00:00:00"/>
    <d v="2020-03-28T00:00:00"/>
    <n v="116"/>
    <n v="4"/>
    <x v="1"/>
    <n v="0.09"/>
    <n v="409.85999999999996"/>
    <n v="4"/>
    <x v="2"/>
  </r>
  <r>
    <n v="117"/>
    <x v="50"/>
    <n v="32"/>
    <s v="Vila Velha"/>
    <x v="3"/>
    <n v="31"/>
    <n v="117"/>
    <n v="3627"/>
    <d v="1899-12-30T03:21:36"/>
    <n v="3119.22"/>
    <d v="2020-03-15T00:00:00"/>
    <d v="2020-03-15T00:00:00"/>
    <n v="117"/>
    <n v="4"/>
    <x v="1"/>
    <n v="0.05"/>
    <n v="155.96100000000001"/>
    <n v="5"/>
    <x v="2"/>
  </r>
  <r>
    <n v="118"/>
    <x v="50"/>
    <n v="36"/>
    <s v="Campo Largo"/>
    <x v="1"/>
    <n v="30"/>
    <n v="99"/>
    <n v="2970"/>
    <d v="1899-12-30T01:40:48"/>
    <n v="2762.1"/>
    <d v="2020-03-08T00:00:00"/>
    <d v="2020-03-08T00:00:00"/>
    <n v="118"/>
    <n v="5"/>
    <x v="5"/>
    <n v="0.05"/>
    <n v="138.10499999999999"/>
    <n v="6"/>
    <x v="2"/>
  </r>
  <r>
    <n v="119"/>
    <x v="50"/>
    <n v="78"/>
    <s v="Governador Valadares"/>
    <x v="2"/>
    <n v="23"/>
    <n v="92"/>
    <n v="2116"/>
    <d v="1899-12-30T00:28:48"/>
    <n v="2073.6799999999998"/>
    <d v="2020-04-05T00:00:00"/>
    <d v="2020-04-05T00:00:00"/>
    <n v="119"/>
    <n v="3"/>
    <x v="4"/>
    <n v="0.08"/>
    <n v="165.89439999999999"/>
    <n v="7"/>
    <x v="2"/>
  </r>
  <r>
    <n v="120"/>
    <x v="50"/>
    <n v="13"/>
    <s v="Contagem"/>
    <x v="5"/>
    <n v="32"/>
    <n v="99"/>
    <n v="3168"/>
    <d v="1899-12-30T02:38:24"/>
    <n v="2819.52"/>
    <d v="2020-03-12T00:00:00"/>
    <d v="2020-03-12T00:00:00"/>
    <n v="120"/>
    <n v="6"/>
    <x v="7"/>
    <n v="0.09"/>
    <n v="253.7568"/>
    <n v="1"/>
    <x v="2"/>
  </r>
  <r>
    <n v="121"/>
    <x v="51"/>
    <n v="49"/>
    <s v="São Paulo"/>
    <x v="6"/>
    <n v="31"/>
    <n v="103"/>
    <n v="3193"/>
    <d v="1899-12-30T02:09:36"/>
    <n v="2905.63"/>
    <d v="2020-03-12T00:00:00"/>
    <d v="2020-03-12T00:00:00"/>
    <n v="121"/>
    <n v="5"/>
    <x v="5"/>
    <n v="0.05"/>
    <n v="145.28150000000002"/>
    <n v="2"/>
    <x v="2"/>
  </r>
  <r>
    <n v="122"/>
    <x v="51"/>
    <n v="1"/>
    <s v="Santos"/>
    <x v="5"/>
    <n v="26"/>
    <n v="97"/>
    <n v="2522"/>
    <d v="1899-12-30T03:21:36"/>
    <n v="2168.92"/>
    <d v="2020-03-09T00:00:00"/>
    <d v="2020-03-09T00:00:00"/>
    <n v="122"/>
    <n v="2"/>
    <x v="7"/>
    <n v="0.1"/>
    <n v="216.89200000000002"/>
    <n v="3"/>
    <x v="2"/>
  </r>
  <r>
    <n v="123"/>
    <x v="51"/>
    <n v="33"/>
    <s v="Ituiutaba"/>
    <x v="1"/>
    <n v="13"/>
    <n v="111"/>
    <n v="1443"/>
    <d v="1899-12-30T00:14:24"/>
    <n v="1428.57"/>
    <d v="2020-03-11T00:00:00"/>
    <d v="2020-03-11T00:00:00"/>
    <n v="123"/>
    <n v="4"/>
    <x v="3"/>
    <n v="0.05"/>
    <n v="71.4285"/>
    <n v="4"/>
    <x v="2"/>
  </r>
  <r>
    <n v="124"/>
    <x v="51"/>
    <n v="50"/>
    <s v="Patos de Minas"/>
    <x v="2"/>
    <n v="35"/>
    <n v="102"/>
    <n v="3570"/>
    <d v="1899-12-30T02:09:36"/>
    <n v="3248.7"/>
    <d v="2020-03-23T00:00:00"/>
    <m/>
    <n v="124"/>
    <n v="7"/>
    <x v="1"/>
    <n v="0.09"/>
    <n v="292.38299999999998"/>
    <n v="5"/>
    <x v="2"/>
  </r>
  <r>
    <n v="125"/>
    <x v="52"/>
    <n v="46"/>
    <s v="Curitiba"/>
    <x v="7"/>
    <n v="19"/>
    <n v="104"/>
    <n v="1976"/>
    <d v="1899-12-30T02:09:36"/>
    <n v="1798.16"/>
    <d v="2020-04-07T00:00:00"/>
    <d v="2020-04-07T00:00:00"/>
    <n v="125"/>
    <n v="5"/>
    <x v="8"/>
    <n v="0.09"/>
    <n v="161.83439999999999"/>
    <n v="6"/>
    <x v="2"/>
  </r>
  <r>
    <n v="126"/>
    <x v="52"/>
    <n v="26"/>
    <s v="Araçatuba"/>
    <x v="2"/>
    <n v="15"/>
    <n v="119"/>
    <n v="1785"/>
    <d v="1899-12-30T03:36:00"/>
    <n v="1517.25"/>
    <d v="2020-03-22T00:00:00"/>
    <d v="2020-03-22T00:00:00"/>
    <n v="126"/>
    <n v="7"/>
    <x v="5"/>
    <n v="0.05"/>
    <n v="75.862499999999997"/>
    <n v="7"/>
    <x v="2"/>
  </r>
  <r>
    <n v="127"/>
    <x v="53"/>
    <n v="48"/>
    <s v="Guarulhos"/>
    <x v="3"/>
    <n v="13"/>
    <n v="99"/>
    <n v="1287"/>
    <d v="1899-12-30T03:36:00"/>
    <n v="1093.95"/>
    <d v="2020-04-08T00:00:00"/>
    <d v="2020-04-08T00:00:00"/>
    <n v="127"/>
    <n v="6"/>
    <x v="5"/>
    <n v="0.08"/>
    <n v="87.516000000000005"/>
    <n v="1"/>
    <x v="2"/>
  </r>
  <r>
    <n v="128"/>
    <x v="53"/>
    <n v="22"/>
    <s v="Núcleo Bandeirante"/>
    <x v="3"/>
    <n v="31"/>
    <n v="104"/>
    <n v="3224"/>
    <d v="1899-12-30T03:07:12"/>
    <n v="2804.88"/>
    <d v="2020-03-29T00:00:00"/>
    <d v="2020-03-29T00:00:00"/>
    <n v="128"/>
    <n v="6"/>
    <x v="9"/>
    <n v="0.06"/>
    <n v="168.2928"/>
    <n v="2"/>
    <x v="2"/>
  </r>
  <r>
    <n v="129"/>
    <x v="54"/>
    <n v="30"/>
    <s v="Vitória da Conquista"/>
    <x v="5"/>
    <n v="36"/>
    <n v="109"/>
    <n v="3924"/>
    <d v="1899-12-30T01:40:48"/>
    <n v="3649.32"/>
    <d v="2020-03-14T00:00:00"/>
    <d v="2020-03-14T00:00:00"/>
    <n v="129"/>
    <n v="3"/>
    <x v="4"/>
    <n v="0.08"/>
    <n v="291.94560000000001"/>
    <n v="3"/>
    <x v="2"/>
  </r>
  <r>
    <n v="130"/>
    <x v="54"/>
    <n v="97"/>
    <s v="Franca"/>
    <x v="9"/>
    <n v="24"/>
    <n v="105"/>
    <n v="2520"/>
    <d v="1899-12-30T00:43:12"/>
    <n v="2444.4"/>
    <d v="2020-03-16T00:00:00"/>
    <d v="2020-03-16T00:00:00"/>
    <n v="130"/>
    <n v="1"/>
    <x v="6"/>
    <n v="0.09"/>
    <n v="219.99600000000001"/>
    <n v="4"/>
    <x v="2"/>
  </r>
  <r>
    <n v="131"/>
    <x v="54"/>
    <n v="64"/>
    <s v="Juazeiro"/>
    <x v="2"/>
    <n v="24"/>
    <n v="118"/>
    <n v="2832"/>
    <d v="1899-12-30T03:07:12"/>
    <n v="2463.84"/>
    <d v="2020-04-09T00:00:00"/>
    <d v="2020-04-09T00:00:00"/>
    <n v="131"/>
    <n v="5"/>
    <x v="8"/>
    <n v="7.0000000000000007E-2"/>
    <n v="172.46880000000002"/>
    <n v="5"/>
    <x v="2"/>
  </r>
  <r>
    <n v="132"/>
    <x v="55"/>
    <n v="98"/>
    <s v="Recife"/>
    <x v="2"/>
    <n v="48"/>
    <n v="119"/>
    <n v="5712"/>
    <d v="1899-12-30T00:00:00"/>
    <n v="5712"/>
    <d v="2020-04-10T00:00:00"/>
    <d v="2020-04-10T00:00:00"/>
    <n v="132"/>
    <n v="1"/>
    <x v="7"/>
    <n v="0.08"/>
    <n v="456.96000000000004"/>
    <n v="6"/>
    <x v="2"/>
  </r>
  <r>
    <n v="133"/>
    <x v="55"/>
    <n v="37"/>
    <s v="Arcoverde"/>
    <x v="2"/>
    <n v="13"/>
    <n v="120"/>
    <n v="1560"/>
    <d v="1899-12-30T03:21:36"/>
    <n v="1341.6"/>
    <d v="2020-04-06T00:00:00"/>
    <d v="2020-04-06T00:00:00"/>
    <n v="133"/>
    <n v="4"/>
    <x v="0"/>
    <n v="0.06"/>
    <n v="80.495999999999995"/>
    <n v="7"/>
    <x v="2"/>
  </r>
  <r>
    <n v="134"/>
    <x v="55"/>
    <n v="15"/>
    <s v="Vila Velha"/>
    <x v="2"/>
    <n v="11"/>
    <n v="113"/>
    <n v="1243"/>
    <d v="1899-12-30T02:52:48"/>
    <n v="1093.8399999999999"/>
    <d v="2020-04-03T00:00:00"/>
    <d v="2020-04-03T00:00:00"/>
    <n v="134"/>
    <n v="7"/>
    <x v="6"/>
    <n v="0.1"/>
    <n v="109.384"/>
    <n v="1"/>
    <x v="2"/>
  </r>
  <r>
    <n v="135"/>
    <x v="56"/>
    <n v="6"/>
    <s v="Jaú"/>
    <x v="5"/>
    <n v="18"/>
    <n v="104"/>
    <n v="1872"/>
    <d v="1899-12-30T00:14:24"/>
    <n v="1853.28"/>
    <d v="2020-04-07T00:00:00"/>
    <d v="2020-04-07T00:00:00"/>
    <n v="135"/>
    <n v="1"/>
    <x v="7"/>
    <n v="0.1"/>
    <n v="185.328"/>
    <n v="2"/>
    <x v="2"/>
  </r>
  <r>
    <n v="136"/>
    <x v="57"/>
    <n v="94"/>
    <s v="Goiânia"/>
    <x v="0"/>
    <n v="25"/>
    <n v="115"/>
    <n v="2875"/>
    <d v="1899-12-30T01:40:48"/>
    <n v="2673.75"/>
    <d v="2020-04-09T00:00:00"/>
    <d v="2020-04-09T00:00:00"/>
    <n v="136"/>
    <n v="1"/>
    <x v="6"/>
    <n v="7.0000000000000007E-2"/>
    <n v="187.16250000000002"/>
    <n v="3"/>
    <x v="2"/>
  </r>
  <r>
    <n v="137"/>
    <x v="58"/>
    <n v="80"/>
    <s v="São Paulo"/>
    <x v="5"/>
    <n v="49"/>
    <n v="107"/>
    <n v="5243"/>
    <d v="1899-12-30T00:57:36"/>
    <n v="5033.28"/>
    <d v="2020-04-09T00:00:00"/>
    <d v="2020-04-09T00:00:00"/>
    <n v="137"/>
    <n v="3"/>
    <x v="3"/>
    <n v="0.06"/>
    <n v="301.99679999999995"/>
    <n v="4"/>
    <x v="2"/>
  </r>
  <r>
    <n v="138"/>
    <x v="58"/>
    <n v="94"/>
    <s v="Goiânia"/>
    <x v="6"/>
    <n v="16"/>
    <n v="106"/>
    <n v="1696"/>
    <d v="1899-12-30T02:38:24"/>
    <n v="1509.44"/>
    <d v="2020-04-03T00:00:00"/>
    <d v="2020-04-03T00:00:00"/>
    <n v="138"/>
    <n v="7"/>
    <x v="9"/>
    <n v="0.05"/>
    <n v="75.472000000000008"/>
    <n v="5"/>
    <x v="2"/>
  </r>
  <r>
    <n v="139"/>
    <x v="59"/>
    <n v="80"/>
    <s v="São Paulo"/>
    <x v="9"/>
    <n v="50"/>
    <n v="119"/>
    <n v="5950"/>
    <d v="1899-12-30T02:24:00"/>
    <n v="5355"/>
    <d v="2020-03-21T00:00:00"/>
    <d v="2020-03-21T00:00:00"/>
    <n v="139"/>
    <n v="3"/>
    <x v="5"/>
    <n v="0.1"/>
    <n v="535.5"/>
    <n v="6"/>
    <x v="2"/>
  </r>
  <r>
    <n v="140"/>
    <x v="60"/>
    <n v="73"/>
    <s v="São Paulo"/>
    <x v="4"/>
    <n v="36"/>
    <n v="111"/>
    <n v="3996"/>
    <d v="1899-12-30T01:55:12"/>
    <n v="3676.32"/>
    <d v="2020-04-10T00:00:00"/>
    <d v="2020-04-10T00:00:00"/>
    <n v="140"/>
    <n v="1"/>
    <x v="5"/>
    <n v="0.1"/>
    <n v="367.63200000000006"/>
    <n v="7"/>
    <x v="2"/>
  </r>
  <r>
    <n v="141"/>
    <x v="60"/>
    <n v="17"/>
    <s v="Rio de Janeiro"/>
    <x v="9"/>
    <n v="10"/>
    <n v="96"/>
    <n v="960"/>
    <d v="1899-12-30T02:24:00"/>
    <n v="864"/>
    <d v="2020-04-01T00:00:00"/>
    <d v="2020-04-01T00:00:00"/>
    <n v="141"/>
    <n v="2"/>
    <x v="3"/>
    <n v="0.05"/>
    <n v="43.2"/>
    <n v="1"/>
    <x v="2"/>
  </r>
  <r>
    <n v="142"/>
    <x v="61"/>
    <n v="14"/>
    <s v="Eunápolis"/>
    <x v="6"/>
    <n v="20"/>
    <n v="113"/>
    <n v="2260"/>
    <d v="1899-12-30T02:09:36"/>
    <n v="2056.6"/>
    <d v="2020-03-23T00:00:00"/>
    <d v="2020-03-23T00:00:00"/>
    <n v="142"/>
    <n v="6"/>
    <x v="1"/>
    <n v="7.0000000000000007E-2"/>
    <n v="143.96200000000002"/>
    <n v="2"/>
    <x v="2"/>
  </r>
  <r>
    <n v="143"/>
    <x v="61"/>
    <n v="16"/>
    <s v="Eunápolis"/>
    <x v="5"/>
    <n v="46"/>
    <n v="98"/>
    <n v="4508"/>
    <d v="1899-12-30T00:00:00"/>
    <n v="4508"/>
    <d v="2020-04-11T00:00:00"/>
    <d v="2020-04-11T00:00:00"/>
    <n v="143"/>
    <n v="1"/>
    <x v="4"/>
    <n v="0.06"/>
    <n v="270.48"/>
    <n v="3"/>
    <x v="2"/>
  </r>
  <r>
    <n v="144"/>
    <x v="61"/>
    <n v="41"/>
    <s v="São João Del Rei"/>
    <x v="4"/>
    <n v="14"/>
    <n v="92"/>
    <n v="1288"/>
    <d v="1899-12-30T01:40:48"/>
    <n v="1197.8399999999999"/>
    <d v="2020-04-06T00:00:00"/>
    <d v="2020-04-06T00:00:00"/>
    <n v="144"/>
    <n v="7"/>
    <x v="4"/>
    <n v="7.0000000000000007E-2"/>
    <n v="83.848799999999997"/>
    <n v="4"/>
    <x v="2"/>
  </r>
  <r>
    <n v="145"/>
    <x v="62"/>
    <n v="34"/>
    <s v="Brusque"/>
    <x v="6"/>
    <n v="42"/>
    <n v="91"/>
    <n v="3822"/>
    <d v="1899-12-30T03:21:36"/>
    <n v="3286.92"/>
    <d v="2020-03-31T00:00:00"/>
    <d v="2020-03-31T00:00:00"/>
    <n v="145"/>
    <n v="1"/>
    <x v="7"/>
    <n v="0.06"/>
    <n v="197.21520000000001"/>
    <n v="5"/>
    <x v="2"/>
  </r>
  <r>
    <n v="146"/>
    <x v="62"/>
    <n v="88"/>
    <s v="São Paulo"/>
    <x v="3"/>
    <n v="49"/>
    <n v="113"/>
    <n v="5537"/>
    <d v="1899-12-30T00:28:48"/>
    <n v="5426.26"/>
    <d v="2020-04-10T00:00:00"/>
    <d v="2020-04-10T00:00:00"/>
    <n v="146"/>
    <n v="7"/>
    <x v="8"/>
    <n v="0.08"/>
    <n v="434.10080000000005"/>
    <n v="6"/>
    <x v="2"/>
  </r>
  <r>
    <n v="147"/>
    <x v="62"/>
    <n v="59"/>
    <s v="Garanhuns"/>
    <x v="6"/>
    <n v="50"/>
    <n v="103"/>
    <n v="5150"/>
    <d v="1899-12-30T00:28:48"/>
    <n v="5047"/>
    <d v="2020-03-24T00:00:00"/>
    <d v="2020-03-24T00:00:00"/>
    <n v="147"/>
    <n v="3"/>
    <x v="5"/>
    <n v="0.06"/>
    <n v="302.82"/>
    <n v="7"/>
    <x v="2"/>
  </r>
  <r>
    <n v="148"/>
    <x v="62"/>
    <n v="91"/>
    <s v="Itaquaquecetuba"/>
    <x v="2"/>
    <n v="34"/>
    <n v="117"/>
    <n v="3978"/>
    <d v="1899-12-30T03:21:36"/>
    <n v="3421.08"/>
    <d v="2020-03-23T00:00:00"/>
    <d v="2020-03-23T00:00:00"/>
    <n v="148"/>
    <n v="6"/>
    <x v="9"/>
    <n v="0.06"/>
    <n v="205.26479999999998"/>
    <n v="1"/>
    <x v="2"/>
  </r>
  <r>
    <n v="149"/>
    <x v="62"/>
    <n v="54"/>
    <s v="São Gonçalo"/>
    <x v="2"/>
    <n v="35"/>
    <n v="93"/>
    <n v="3255"/>
    <d v="1899-12-30T00:28:48"/>
    <n v="3189.9"/>
    <d v="2020-04-13T00:00:00"/>
    <d v="2020-04-13T00:00:00"/>
    <n v="149"/>
    <n v="6"/>
    <x v="0"/>
    <n v="0.05"/>
    <n v="159.495"/>
    <n v="2"/>
    <x v="2"/>
  </r>
  <r>
    <n v="150"/>
    <x v="63"/>
    <n v="71"/>
    <s v="Paranavaí"/>
    <x v="2"/>
    <n v="40"/>
    <n v="113"/>
    <n v="4520"/>
    <d v="1899-12-30T00:00:00"/>
    <n v="4520"/>
    <d v="2020-04-21T00:00:00"/>
    <d v="2020-04-21T00:00:00"/>
    <n v="150"/>
    <n v="6"/>
    <x v="9"/>
    <n v="0.08"/>
    <n v="361.6"/>
    <n v="3"/>
    <x v="2"/>
  </r>
  <r>
    <n v="151"/>
    <x v="64"/>
    <n v="29"/>
    <s v="Teófilo Otoni"/>
    <x v="7"/>
    <n v="14"/>
    <n v="119"/>
    <n v="1666"/>
    <d v="1899-12-30T01:40:48"/>
    <n v="1549.38"/>
    <d v="2020-04-12T00:00:00"/>
    <d v="2020-04-12T00:00:00"/>
    <n v="151"/>
    <n v="3"/>
    <x v="2"/>
    <n v="0.05"/>
    <n v="77.469000000000008"/>
    <n v="4"/>
    <x v="2"/>
  </r>
  <r>
    <n v="152"/>
    <x v="64"/>
    <n v="91"/>
    <s v="Itaquaquecetuba"/>
    <x v="9"/>
    <n v="11"/>
    <n v="109"/>
    <n v="1199"/>
    <d v="1899-12-30T01:26:24"/>
    <n v="1127.06"/>
    <d v="2020-04-01T00:00:00"/>
    <d v="2020-04-01T00:00:00"/>
    <n v="152"/>
    <n v="1"/>
    <x v="7"/>
    <n v="0.08"/>
    <n v="90.1648"/>
    <n v="5"/>
    <x v="2"/>
  </r>
  <r>
    <n v="153"/>
    <x v="64"/>
    <n v="36"/>
    <s v="Campo Largo"/>
    <x v="5"/>
    <n v="34"/>
    <n v="112"/>
    <n v="3808"/>
    <d v="1899-12-30T02:52:48"/>
    <n v="3351.04"/>
    <d v="2020-04-08T00:00:00"/>
    <d v="2020-04-08T00:00:00"/>
    <n v="153"/>
    <n v="1"/>
    <x v="4"/>
    <n v="0.05"/>
    <n v="167.55200000000002"/>
    <n v="6"/>
    <x v="2"/>
  </r>
  <r>
    <n v="154"/>
    <x v="64"/>
    <n v="71"/>
    <s v="Paranavaí"/>
    <x v="6"/>
    <n v="23"/>
    <n v="117"/>
    <n v="2691"/>
    <d v="1899-12-30T00:43:12"/>
    <n v="2610.27"/>
    <d v="2020-04-24T00:00:00"/>
    <d v="2020-04-24T00:00:00"/>
    <n v="154"/>
    <n v="4"/>
    <x v="2"/>
    <n v="0.08"/>
    <n v="208.82159999999999"/>
    <n v="7"/>
    <x v="2"/>
  </r>
  <r>
    <n v="155"/>
    <x v="64"/>
    <n v="4"/>
    <s v="João Pessoa"/>
    <x v="4"/>
    <n v="31"/>
    <n v="94"/>
    <n v="2914"/>
    <d v="1899-12-30T02:38:24"/>
    <n v="2593.46"/>
    <d v="2020-04-05T00:00:00"/>
    <d v="2020-04-05T00:00:00"/>
    <n v="155"/>
    <n v="3"/>
    <x v="0"/>
    <n v="0.1"/>
    <n v="259.346"/>
    <n v="1"/>
    <x v="2"/>
  </r>
  <r>
    <n v="156"/>
    <x v="64"/>
    <n v="75"/>
    <s v="São Paulo"/>
    <x v="9"/>
    <n v="42"/>
    <n v="98"/>
    <n v="4116"/>
    <d v="1899-12-30T03:36:00"/>
    <n v="3498.6"/>
    <d v="2020-03-27T00:00:00"/>
    <d v="2020-03-27T00:00:00"/>
    <n v="156"/>
    <n v="6"/>
    <x v="4"/>
    <n v="0.08"/>
    <n v="279.88799999999998"/>
    <n v="2"/>
    <x v="2"/>
  </r>
  <r>
    <n v="157"/>
    <x v="65"/>
    <n v="12"/>
    <s v="São José do Rio Preto"/>
    <x v="5"/>
    <n v="48"/>
    <n v="109"/>
    <n v="5232"/>
    <d v="1899-12-30T00:57:36"/>
    <n v="5022.72"/>
    <d v="2020-04-24T00:00:00"/>
    <d v="2020-04-24T00:00:00"/>
    <n v="157"/>
    <n v="1"/>
    <x v="0"/>
    <n v="0.08"/>
    <n v="401.81760000000003"/>
    <n v="3"/>
    <x v="2"/>
  </r>
  <r>
    <n v="158"/>
    <x v="66"/>
    <n v="97"/>
    <s v="Franca"/>
    <x v="2"/>
    <n v="16"/>
    <n v="97"/>
    <n v="1552"/>
    <d v="1899-12-30T02:09:36"/>
    <n v="1412.32"/>
    <d v="2020-04-21T00:00:00"/>
    <d v="2020-04-21T00:00:00"/>
    <n v="158"/>
    <n v="6"/>
    <x v="0"/>
    <n v="0.06"/>
    <n v="84.739199999999997"/>
    <n v="4"/>
    <x v="2"/>
  </r>
  <r>
    <n v="159"/>
    <x v="66"/>
    <n v="38"/>
    <s v="Belo Horizonte"/>
    <x v="6"/>
    <n v="50"/>
    <n v="111"/>
    <n v="5550"/>
    <d v="1899-12-30T02:24:00"/>
    <n v="4995"/>
    <d v="2020-04-25T00:00:00"/>
    <d v="2020-04-25T00:00:00"/>
    <n v="159"/>
    <n v="1"/>
    <x v="1"/>
    <n v="0.05"/>
    <n v="249.75"/>
    <n v="5"/>
    <x v="2"/>
  </r>
  <r>
    <n v="160"/>
    <x v="66"/>
    <n v="16"/>
    <s v="Eunápolis"/>
    <x v="6"/>
    <n v="45"/>
    <n v="90"/>
    <n v="4050"/>
    <d v="1899-12-30T00:57:36"/>
    <n v="3888"/>
    <d v="2020-04-06T00:00:00"/>
    <d v="2020-04-06T00:00:00"/>
    <n v="160"/>
    <n v="6"/>
    <x v="3"/>
    <n v="7.0000000000000007E-2"/>
    <n v="272.16000000000003"/>
    <n v="6"/>
    <x v="2"/>
  </r>
  <r>
    <n v="161"/>
    <x v="66"/>
    <n v="90"/>
    <s v="Cachoeiro de Itapemirim"/>
    <x v="6"/>
    <n v="28"/>
    <n v="91"/>
    <n v="2548"/>
    <d v="1899-12-30T03:07:12"/>
    <n v="2216.7600000000002"/>
    <d v="2020-04-03T00:00:00"/>
    <d v="2020-04-03T00:00:00"/>
    <n v="161"/>
    <n v="7"/>
    <x v="1"/>
    <n v="7.0000000000000007E-2"/>
    <n v="155.17320000000004"/>
    <n v="7"/>
    <x v="2"/>
  </r>
  <r>
    <n v="162"/>
    <x v="67"/>
    <n v="73"/>
    <s v="São Paulo"/>
    <x v="1"/>
    <n v="25"/>
    <n v="115"/>
    <n v="2875"/>
    <d v="1899-12-30T03:07:12"/>
    <n v="2501.25"/>
    <d v="2020-04-19T00:00:00"/>
    <d v="2020-04-19T00:00:00"/>
    <n v="162"/>
    <n v="4"/>
    <x v="3"/>
    <n v="0.09"/>
    <n v="225.11249999999998"/>
    <n v="1"/>
    <x v="2"/>
  </r>
  <r>
    <n v="163"/>
    <x v="68"/>
    <n v="34"/>
    <s v="Brusque"/>
    <x v="3"/>
    <n v="39"/>
    <n v="106"/>
    <n v="4134"/>
    <d v="1899-12-30T01:12:00"/>
    <n v="3927.3"/>
    <d v="2020-04-23T00:00:00"/>
    <d v="2020-04-23T00:00:00"/>
    <n v="163"/>
    <n v="3"/>
    <x v="8"/>
    <n v="0.1"/>
    <n v="392.73"/>
    <n v="2"/>
    <x v="2"/>
  </r>
  <r>
    <n v="164"/>
    <x v="68"/>
    <n v="79"/>
    <s v="Salvador"/>
    <x v="9"/>
    <n v="15"/>
    <n v="100"/>
    <n v="1500"/>
    <d v="1899-12-30T01:40:48"/>
    <n v="1395"/>
    <d v="2020-04-25T00:00:00"/>
    <d v="2020-04-25T00:00:00"/>
    <n v="164"/>
    <n v="4"/>
    <x v="7"/>
    <n v="0.09"/>
    <n v="125.55"/>
    <n v="3"/>
    <x v="2"/>
  </r>
  <r>
    <n v="165"/>
    <x v="69"/>
    <n v="78"/>
    <s v="Governador Valadares"/>
    <x v="2"/>
    <n v="21"/>
    <n v="119"/>
    <n v="2499"/>
    <d v="1899-12-30T00:28:48"/>
    <n v="2449.02"/>
    <d v="2020-04-21T00:00:00"/>
    <d v="2020-04-21T00:00:00"/>
    <n v="165"/>
    <n v="4"/>
    <x v="9"/>
    <n v="0.06"/>
    <n v="146.94119999999998"/>
    <n v="4"/>
    <x v="2"/>
  </r>
  <r>
    <n v="166"/>
    <x v="69"/>
    <n v="19"/>
    <s v="São Paulo"/>
    <x v="3"/>
    <n v="14"/>
    <n v="116"/>
    <n v="1624"/>
    <d v="1899-12-30T01:40:48"/>
    <n v="1510.32"/>
    <d v="2020-04-08T00:00:00"/>
    <d v="2020-04-08T00:00:00"/>
    <n v="166"/>
    <n v="3"/>
    <x v="7"/>
    <n v="7.0000000000000007E-2"/>
    <n v="105.72240000000001"/>
    <n v="5"/>
    <x v="2"/>
  </r>
  <r>
    <n v="167"/>
    <x v="69"/>
    <n v="72"/>
    <s v="São Paulo"/>
    <x v="4"/>
    <n v="24"/>
    <n v="98"/>
    <n v="2352"/>
    <d v="1899-12-30T02:24:00"/>
    <n v="2116.8000000000002"/>
    <d v="2020-04-10T00:00:00"/>
    <d v="2020-04-10T00:00:00"/>
    <n v="167"/>
    <n v="6"/>
    <x v="3"/>
    <n v="0.09"/>
    <n v="190.512"/>
    <n v="6"/>
    <x v="2"/>
  </r>
  <r>
    <n v="168"/>
    <x v="69"/>
    <n v="63"/>
    <s v="Catanduva"/>
    <x v="3"/>
    <n v="27"/>
    <n v="116"/>
    <n v="3132"/>
    <d v="1899-12-30T00:00:00"/>
    <n v="3132"/>
    <d v="2020-04-16T00:00:00"/>
    <d v="2020-04-16T00:00:00"/>
    <n v="168"/>
    <n v="6"/>
    <x v="0"/>
    <n v="0.05"/>
    <n v="156.60000000000002"/>
    <n v="7"/>
    <x v="2"/>
  </r>
  <r>
    <n v="169"/>
    <x v="70"/>
    <n v="90"/>
    <s v="Cachoeiro de Itapemirim"/>
    <x v="2"/>
    <n v="31"/>
    <n v="103"/>
    <n v="3193"/>
    <d v="1899-12-30T02:38:24"/>
    <n v="2841.77"/>
    <d v="2020-04-01T00:00:00"/>
    <d v="2020-04-01T00:00:00"/>
    <n v="169"/>
    <n v="5"/>
    <x v="2"/>
    <n v="0.1"/>
    <n v="284.17700000000002"/>
    <n v="1"/>
    <x v="3"/>
  </r>
  <r>
    <n v="170"/>
    <x v="70"/>
    <n v="26"/>
    <s v="Araçatuba"/>
    <x v="6"/>
    <n v="44"/>
    <n v="114"/>
    <n v="5016"/>
    <d v="1899-12-30T00:14:24"/>
    <n v="4965.84"/>
    <d v="2020-04-23T00:00:00"/>
    <d v="2020-04-23T00:00:00"/>
    <n v="170"/>
    <n v="4"/>
    <x v="5"/>
    <n v="0.05"/>
    <n v="248.29200000000003"/>
    <n v="2"/>
    <x v="3"/>
  </r>
  <r>
    <n v="171"/>
    <x v="70"/>
    <n v="86"/>
    <s v="Jataí"/>
    <x v="8"/>
    <n v="10"/>
    <n v="93"/>
    <n v="930"/>
    <d v="1899-12-30T02:24:00"/>
    <n v="837"/>
    <d v="2020-04-06T00:00:00"/>
    <d v="2020-04-06T00:00:00"/>
    <n v="171"/>
    <n v="7"/>
    <x v="2"/>
    <n v="7.0000000000000007E-2"/>
    <n v="58.59"/>
    <n v="3"/>
    <x v="3"/>
  </r>
  <r>
    <n v="172"/>
    <x v="70"/>
    <n v="4"/>
    <s v="João Pessoa"/>
    <x v="8"/>
    <n v="22"/>
    <n v="116"/>
    <n v="2552"/>
    <d v="1899-12-30T00:43:12"/>
    <n v="2475.44"/>
    <d v="2020-04-17T00:00:00"/>
    <d v="2020-04-17T00:00:00"/>
    <n v="172"/>
    <n v="3"/>
    <x v="3"/>
    <n v="0.06"/>
    <n v="148.5264"/>
    <n v="4"/>
    <x v="3"/>
  </r>
  <r>
    <n v="173"/>
    <x v="70"/>
    <n v="88"/>
    <s v="São Paulo"/>
    <x v="2"/>
    <n v="49"/>
    <n v="109"/>
    <n v="5341"/>
    <d v="1899-12-30T00:14:24"/>
    <n v="5287.59"/>
    <d v="2020-04-01T00:00:00"/>
    <d v="2020-04-01T00:00:00"/>
    <n v="173"/>
    <n v="3"/>
    <x v="1"/>
    <n v="0.09"/>
    <n v="475.88310000000001"/>
    <n v="5"/>
    <x v="3"/>
  </r>
  <r>
    <n v="174"/>
    <x v="71"/>
    <n v="64"/>
    <s v="Juazeiro"/>
    <x v="7"/>
    <n v="47"/>
    <n v="107"/>
    <n v="5029"/>
    <d v="1899-12-30T02:09:36"/>
    <n v="4576.3900000000003"/>
    <d v="2020-04-30T00:00:00"/>
    <d v="2020-04-30T00:00:00"/>
    <n v="174"/>
    <n v="6"/>
    <x v="7"/>
    <n v="0.06"/>
    <n v="274.58339999999998"/>
    <n v="6"/>
    <x v="3"/>
  </r>
  <r>
    <n v="175"/>
    <x v="72"/>
    <n v="52"/>
    <s v="São Luís"/>
    <x v="5"/>
    <n v="44"/>
    <n v="104"/>
    <n v="4576"/>
    <d v="1899-12-30T00:00:00"/>
    <n v="4576"/>
    <d v="2020-04-21T00:00:00"/>
    <d v="2020-04-21T00:00:00"/>
    <n v="175"/>
    <n v="5"/>
    <x v="4"/>
    <n v="0.06"/>
    <n v="274.56"/>
    <n v="7"/>
    <x v="3"/>
  </r>
  <r>
    <n v="176"/>
    <x v="73"/>
    <n v="70"/>
    <s v="Rio de Janeiro"/>
    <x v="5"/>
    <n v="15"/>
    <n v="101"/>
    <n v="1515"/>
    <d v="1899-12-30T02:24:00"/>
    <n v="1363.5"/>
    <d v="2020-04-16T00:00:00"/>
    <d v="2020-04-16T00:00:00"/>
    <n v="176"/>
    <n v="6"/>
    <x v="8"/>
    <n v="7.0000000000000007E-2"/>
    <n v="95.445000000000007"/>
    <n v="1"/>
    <x v="3"/>
  </r>
  <r>
    <n v="177"/>
    <x v="74"/>
    <n v="74"/>
    <s v="São Paulo"/>
    <x v="2"/>
    <n v="28"/>
    <n v="98"/>
    <n v="2744"/>
    <d v="1899-12-30T01:55:12"/>
    <n v="2524.48"/>
    <d v="2020-04-21T00:00:00"/>
    <d v="2020-04-21T00:00:00"/>
    <n v="177"/>
    <n v="4"/>
    <x v="5"/>
    <n v="0.1"/>
    <n v="252.44800000000001"/>
    <n v="2"/>
    <x v="3"/>
  </r>
  <r>
    <n v="178"/>
    <x v="75"/>
    <n v="1"/>
    <s v="Santos"/>
    <x v="4"/>
    <n v="34"/>
    <n v="92"/>
    <n v="3128"/>
    <d v="1899-12-30T00:43:12"/>
    <n v="3034.16"/>
    <d v="2020-04-22T00:00:00"/>
    <d v="2020-04-22T00:00:00"/>
    <n v="178"/>
    <n v="1"/>
    <x v="3"/>
    <n v="0.06"/>
    <n v="182.0496"/>
    <n v="3"/>
    <x v="3"/>
  </r>
  <r>
    <n v="179"/>
    <x v="76"/>
    <n v="87"/>
    <s v="Fortaleza"/>
    <x v="1"/>
    <n v="44"/>
    <n v="97"/>
    <n v="4268"/>
    <d v="1899-12-30T01:26:24"/>
    <n v="4011.92"/>
    <d v="2020-04-22T00:00:00"/>
    <d v="2020-04-22T00:00:00"/>
    <n v="179"/>
    <n v="5"/>
    <x v="8"/>
    <n v="0.09"/>
    <n v="361.07279999999997"/>
    <n v="4"/>
    <x v="3"/>
  </r>
  <r>
    <n v="180"/>
    <x v="76"/>
    <n v="2"/>
    <s v="Laranjeiras do Sul"/>
    <x v="9"/>
    <n v="30"/>
    <n v="96"/>
    <n v="2880"/>
    <d v="1899-12-30T03:36:00"/>
    <n v="2448"/>
    <d v="2020-04-26T00:00:00"/>
    <d v="2020-04-26T00:00:00"/>
    <n v="180"/>
    <n v="3"/>
    <x v="5"/>
    <n v="0.06"/>
    <n v="146.88"/>
    <n v="5"/>
    <x v="3"/>
  </r>
  <r>
    <n v="181"/>
    <x v="77"/>
    <n v="11"/>
    <s v="Cachoeiro de Itapemirim"/>
    <x v="8"/>
    <n v="35"/>
    <n v="93"/>
    <n v="3255"/>
    <d v="1899-12-30T01:26:24"/>
    <n v="3059.7"/>
    <d v="2020-05-04T00:00:00"/>
    <d v="2020-05-04T00:00:00"/>
    <n v="181"/>
    <n v="3"/>
    <x v="9"/>
    <n v="7.0000000000000007E-2"/>
    <n v="214.179"/>
    <n v="6"/>
    <x v="3"/>
  </r>
  <r>
    <n v="182"/>
    <x v="77"/>
    <n v="22"/>
    <s v="Núcleo Bandeirante"/>
    <x v="3"/>
    <n v="12"/>
    <n v="98"/>
    <n v="1176"/>
    <d v="1899-12-30T00:28:48"/>
    <n v="1152.48"/>
    <d v="2020-05-09T00:00:00"/>
    <d v="2020-05-09T00:00:00"/>
    <n v="182"/>
    <n v="7"/>
    <x v="8"/>
    <n v="0.09"/>
    <n v="103.72319999999999"/>
    <n v="7"/>
    <x v="3"/>
  </r>
  <r>
    <n v="183"/>
    <x v="77"/>
    <n v="82"/>
    <s v="Rio de Janeiro"/>
    <x v="1"/>
    <n v="27"/>
    <n v="98"/>
    <n v="2646"/>
    <d v="1899-12-30T00:57:36"/>
    <n v="2540.16"/>
    <d v="2020-05-06T00:00:00"/>
    <d v="2020-05-06T00:00:00"/>
    <n v="183"/>
    <n v="3"/>
    <x v="3"/>
    <n v="0.06"/>
    <n v="152.40959999999998"/>
    <n v="1"/>
    <x v="3"/>
  </r>
  <r>
    <n v="184"/>
    <x v="78"/>
    <n v="43"/>
    <s v="Dourados"/>
    <x v="2"/>
    <n v="26"/>
    <n v="96"/>
    <n v="2496"/>
    <d v="1899-12-30T01:12:00"/>
    <n v="2371.1999999999998"/>
    <d v="2020-04-20T00:00:00"/>
    <d v="2020-04-20T00:00:00"/>
    <n v="184"/>
    <n v="5"/>
    <x v="8"/>
    <n v="0.09"/>
    <n v="213.40799999999999"/>
    <n v="2"/>
    <x v="3"/>
  </r>
  <r>
    <n v="185"/>
    <x v="78"/>
    <n v="56"/>
    <s v="Rio de Janeiro"/>
    <x v="3"/>
    <n v="21"/>
    <n v="105"/>
    <n v="2205"/>
    <d v="1899-12-30T00:57:36"/>
    <n v="2116.8000000000002"/>
    <d v="2020-05-09T00:00:00"/>
    <d v="2020-05-09T00:00:00"/>
    <n v="185"/>
    <n v="2"/>
    <x v="4"/>
    <n v="0.09"/>
    <n v="190.512"/>
    <n v="3"/>
    <x v="3"/>
  </r>
  <r>
    <n v="186"/>
    <x v="79"/>
    <n v="70"/>
    <s v="Rio de Janeiro"/>
    <x v="9"/>
    <n v="28"/>
    <n v="105"/>
    <n v="2940"/>
    <d v="1899-12-30T01:12:00"/>
    <n v="2793"/>
    <d v="2020-05-09T00:00:00"/>
    <d v="2020-05-09T00:00:00"/>
    <n v="186"/>
    <n v="1"/>
    <x v="8"/>
    <n v="7.0000000000000007E-2"/>
    <n v="195.51000000000002"/>
    <n v="4"/>
    <x v="3"/>
  </r>
  <r>
    <n v="187"/>
    <x v="80"/>
    <n v="44"/>
    <s v="Atibaia"/>
    <x v="7"/>
    <n v="29"/>
    <n v="97"/>
    <n v="2813"/>
    <d v="1899-12-30T00:28:48"/>
    <n v="2756.74"/>
    <d v="2020-05-12T00:00:00"/>
    <d v="2020-05-12T00:00:00"/>
    <n v="187"/>
    <n v="5"/>
    <x v="8"/>
    <n v="0.09"/>
    <n v="248.10659999999996"/>
    <n v="5"/>
    <x v="3"/>
  </r>
  <r>
    <n v="188"/>
    <x v="80"/>
    <n v="83"/>
    <s v="Queimados"/>
    <x v="6"/>
    <n v="16"/>
    <n v="110"/>
    <n v="1760"/>
    <d v="1899-12-30T01:12:00"/>
    <n v="1672"/>
    <d v="2020-05-04T00:00:00"/>
    <d v="2020-05-04T00:00:00"/>
    <n v="188"/>
    <n v="4"/>
    <x v="6"/>
    <n v="0.06"/>
    <n v="100.32"/>
    <n v="6"/>
    <x v="3"/>
  </r>
  <r>
    <n v="189"/>
    <x v="81"/>
    <n v="48"/>
    <s v="Guarulhos"/>
    <x v="9"/>
    <n v="47"/>
    <n v="117"/>
    <n v="5499"/>
    <d v="1899-12-30T02:38:24"/>
    <n v="4894.1099999999997"/>
    <d v="2020-05-05T00:00:00"/>
    <d v="2020-05-05T00:00:00"/>
    <n v="189"/>
    <n v="2"/>
    <x v="3"/>
    <n v="0.09"/>
    <n v="440.46989999999994"/>
    <n v="7"/>
    <x v="3"/>
  </r>
  <r>
    <n v="190"/>
    <x v="81"/>
    <n v="2"/>
    <s v="Laranjeiras do Sul"/>
    <x v="0"/>
    <n v="40"/>
    <n v="110"/>
    <n v="4400"/>
    <d v="1899-12-30T00:00:00"/>
    <n v="4400"/>
    <d v="2020-04-20T00:00:00"/>
    <d v="2020-04-20T00:00:00"/>
    <n v="190"/>
    <n v="1"/>
    <x v="6"/>
    <n v="0.09"/>
    <n v="396"/>
    <n v="1"/>
    <x v="3"/>
  </r>
  <r>
    <n v="191"/>
    <x v="81"/>
    <n v="89"/>
    <s v="Goiânia"/>
    <x v="4"/>
    <n v="37"/>
    <n v="106"/>
    <n v="3922"/>
    <d v="1899-12-30T00:57:36"/>
    <n v="3765.12"/>
    <d v="2020-05-10T00:00:00"/>
    <d v="2020-05-10T00:00:00"/>
    <n v="191"/>
    <n v="6"/>
    <x v="2"/>
    <n v="0.06"/>
    <n v="225.90719999999999"/>
    <n v="2"/>
    <x v="3"/>
  </r>
  <r>
    <n v="192"/>
    <x v="82"/>
    <n v="35"/>
    <s v="São Paulo"/>
    <x v="5"/>
    <n v="44"/>
    <n v="115"/>
    <n v="5060"/>
    <d v="1899-12-30T03:07:12"/>
    <n v="4402.2"/>
    <d v="2020-05-14T00:00:00"/>
    <d v="2020-05-14T00:00:00"/>
    <n v="192"/>
    <n v="2"/>
    <x v="6"/>
    <n v="0.1"/>
    <n v="440.22"/>
    <n v="3"/>
    <x v="3"/>
  </r>
  <r>
    <n v="193"/>
    <x v="83"/>
    <n v="62"/>
    <s v="São Paulo"/>
    <x v="9"/>
    <n v="26"/>
    <n v="110"/>
    <n v="2860"/>
    <d v="1899-12-30T03:36:00"/>
    <n v="2431"/>
    <d v="2020-04-29T00:00:00"/>
    <d v="2020-04-29T00:00:00"/>
    <n v="193"/>
    <n v="5"/>
    <x v="7"/>
    <n v="0.1"/>
    <n v="243.10000000000002"/>
    <n v="4"/>
    <x v="3"/>
  </r>
  <r>
    <n v="194"/>
    <x v="84"/>
    <n v="69"/>
    <s v="Rio de Janeiro"/>
    <x v="6"/>
    <n v="28"/>
    <n v="90"/>
    <n v="2520"/>
    <d v="1899-12-30T00:14:24"/>
    <n v="2494.8000000000002"/>
    <d v="2020-05-05T00:00:00"/>
    <d v="2020-05-05T00:00:00"/>
    <n v="194"/>
    <n v="6"/>
    <x v="8"/>
    <n v="0.08"/>
    <n v="199.58400000000003"/>
    <n v="5"/>
    <x v="3"/>
  </r>
  <r>
    <n v="195"/>
    <x v="84"/>
    <n v="88"/>
    <s v="São Paulo"/>
    <x v="0"/>
    <n v="15"/>
    <n v="90"/>
    <n v="1350"/>
    <d v="1899-12-30T03:21:36"/>
    <n v="1161"/>
    <d v="2020-05-17T00:00:00"/>
    <d v="2020-05-17T00:00:00"/>
    <n v="195"/>
    <n v="6"/>
    <x v="1"/>
    <n v="0.08"/>
    <n v="92.88"/>
    <n v="6"/>
    <x v="3"/>
  </r>
  <r>
    <n v="196"/>
    <x v="85"/>
    <n v="10"/>
    <s v="Campinas"/>
    <x v="1"/>
    <n v="37"/>
    <n v="118"/>
    <n v="4366"/>
    <d v="1899-12-30T01:26:24"/>
    <n v="4104.04"/>
    <d v="2020-05-11T00:00:00"/>
    <d v="2020-05-11T00:00:00"/>
    <n v="196"/>
    <n v="3"/>
    <x v="9"/>
    <n v="0.1"/>
    <n v="410.404"/>
    <n v="7"/>
    <x v="3"/>
  </r>
  <r>
    <n v="197"/>
    <x v="85"/>
    <n v="48"/>
    <s v="Guarulhos"/>
    <x v="2"/>
    <n v="33"/>
    <n v="108"/>
    <n v="3564"/>
    <d v="1899-12-30T02:52:48"/>
    <n v="3136.32"/>
    <d v="2020-05-01T00:00:00"/>
    <d v="2020-05-01T00:00:00"/>
    <n v="197"/>
    <n v="7"/>
    <x v="7"/>
    <n v="7.0000000000000007E-2"/>
    <n v="219.54240000000004"/>
    <n v="1"/>
    <x v="3"/>
  </r>
  <r>
    <n v="198"/>
    <x v="86"/>
    <n v="48"/>
    <s v="Guarulhos"/>
    <x v="1"/>
    <n v="16"/>
    <n v="114"/>
    <n v="1824"/>
    <d v="1899-12-30T02:52:48"/>
    <n v="1605.12"/>
    <d v="2020-05-12T00:00:00"/>
    <d v="2020-05-12T00:00:00"/>
    <n v="198"/>
    <n v="6"/>
    <x v="1"/>
    <n v="0.05"/>
    <n v="80.256"/>
    <n v="2"/>
    <x v="3"/>
  </r>
  <r>
    <n v="199"/>
    <x v="86"/>
    <n v="91"/>
    <s v="Itaquaquecetuba"/>
    <x v="0"/>
    <n v="48"/>
    <n v="109"/>
    <n v="5232"/>
    <d v="1899-12-30T00:14:24"/>
    <n v="5179.68"/>
    <d v="2020-05-04T00:00:00"/>
    <d v="2020-05-04T00:00:00"/>
    <n v="199"/>
    <n v="6"/>
    <x v="2"/>
    <n v="0.09"/>
    <n v="466.1712"/>
    <n v="3"/>
    <x v="3"/>
  </r>
  <r>
    <n v="200"/>
    <x v="86"/>
    <n v="91"/>
    <s v="Itaquaquecetuba"/>
    <x v="8"/>
    <n v="41"/>
    <n v="95"/>
    <n v="3895"/>
    <d v="1899-12-30T03:36:00"/>
    <n v="3310.75"/>
    <d v="2020-05-06T00:00:00"/>
    <d v="2020-05-06T00:00:00"/>
    <n v="200"/>
    <n v="3"/>
    <x v="0"/>
    <n v="0.08"/>
    <n v="264.86"/>
    <n v="4"/>
    <x v="3"/>
  </r>
  <r>
    <n v="201"/>
    <x v="87"/>
    <n v="65"/>
    <s v="Ariquemes"/>
    <x v="3"/>
    <n v="13"/>
    <n v="111"/>
    <n v="1443"/>
    <d v="1899-12-30T01:26:24"/>
    <n v="1356.42"/>
    <d v="2020-05-05T00:00:00"/>
    <d v="2020-05-05T00:00:00"/>
    <n v="201"/>
    <n v="5"/>
    <x v="1"/>
    <n v="7.0000000000000007E-2"/>
    <n v="94.949400000000011"/>
    <n v="5"/>
    <x v="3"/>
  </r>
  <r>
    <n v="202"/>
    <x v="87"/>
    <n v="100"/>
    <s v="São Paulo"/>
    <x v="7"/>
    <n v="35"/>
    <n v="92"/>
    <n v="3220"/>
    <d v="1899-12-30T00:28:48"/>
    <n v="3155.6"/>
    <d v="2020-05-15T00:00:00"/>
    <d v="2020-05-15T00:00:00"/>
    <n v="202"/>
    <n v="6"/>
    <x v="8"/>
    <n v="7.0000000000000007E-2"/>
    <n v="220.89200000000002"/>
    <n v="6"/>
    <x v="3"/>
  </r>
  <r>
    <n v="203"/>
    <x v="88"/>
    <n v="93"/>
    <s v="Salvador"/>
    <x v="6"/>
    <n v="20"/>
    <n v="111"/>
    <n v="2220"/>
    <d v="1899-12-30T03:21:36"/>
    <n v="1909.2"/>
    <d v="2020-05-24T00:00:00"/>
    <d v="2020-05-24T00:00:00"/>
    <n v="203"/>
    <n v="3"/>
    <x v="9"/>
    <n v="7.0000000000000007E-2"/>
    <n v="133.64400000000001"/>
    <n v="7"/>
    <x v="3"/>
  </r>
  <r>
    <n v="204"/>
    <x v="89"/>
    <n v="37"/>
    <s v="Arcoverde"/>
    <x v="8"/>
    <n v="14"/>
    <n v="114"/>
    <n v="1596"/>
    <d v="1899-12-30T01:12:00"/>
    <n v="1516.2"/>
    <d v="2020-05-07T00:00:00"/>
    <d v="2020-05-07T00:00:00"/>
    <n v="204"/>
    <n v="6"/>
    <x v="7"/>
    <n v="7.0000000000000007E-2"/>
    <n v="106.13400000000001"/>
    <n v="1"/>
    <x v="3"/>
  </r>
  <r>
    <n v="205"/>
    <x v="89"/>
    <n v="72"/>
    <s v="São Paulo"/>
    <x v="5"/>
    <n v="13"/>
    <n v="91"/>
    <n v="1183"/>
    <d v="1899-12-30T01:26:24"/>
    <n v="1112.02"/>
    <d v="2020-05-26T00:00:00"/>
    <d v="2020-05-26T00:00:00"/>
    <n v="205"/>
    <n v="1"/>
    <x v="6"/>
    <n v="0.09"/>
    <n v="100.0818"/>
    <n v="2"/>
    <x v="3"/>
  </r>
  <r>
    <n v="206"/>
    <x v="90"/>
    <n v="16"/>
    <s v="Eunápolis"/>
    <x v="4"/>
    <n v="34"/>
    <n v="113"/>
    <n v="3842"/>
    <d v="1899-12-30T02:09:36"/>
    <n v="3496.2200000000003"/>
    <d v="2020-05-15T00:00:00"/>
    <d v="2020-05-15T00:00:00"/>
    <n v="206"/>
    <n v="5"/>
    <x v="8"/>
    <n v="0.08"/>
    <n v="279.69760000000002"/>
    <n v="3"/>
    <x v="3"/>
  </r>
  <r>
    <n v="207"/>
    <x v="90"/>
    <n v="57"/>
    <s v="Campinas"/>
    <x v="5"/>
    <n v="26"/>
    <n v="103"/>
    <n v="2678"/>
    <d v="1899-12-30T01:12:00"/>
    <n v="2544.1"/>
    <d v="2020-05-20T00:00:00"/>
    <d v="2020-05-20T00:00:00"/>
    <n v="207"/>
    <n v="3"/>
    <x v="9"/>
    <n v="0.06"/>
    <n v="152.64599999999999"/>
    <n v="4"/>
    <x v="3"/>
  </r>
  <r>
    <n v="208"/>
    <x v="91"/>
    <n v="13"/>
    <s v="Contagem"/>
    <x v="0"/>
    <n v="26"/>
    <n v="112"/>
    <n v="2912"/>
    <d v="1899-12-30T01:55:12"/>
    <n v="2679.04"/>
    <d v="2020-05-27T00:00:00"/>
    <d v="2020-05-27T00:00:00"/>
    <n v="208"/>
    <n v="6"/>
    <x v="2"/>
    <n v="7.0000000000000007E-2"/>
    <n v="187.53280000000001"/>
    <n v="5"/>
    <x v="3"/>
  </r>
  <r>
    <n v="209"/>
    <x v="91"/>
    <n v="4"/>
    <s v="João Pessoa"/>
    <x v="1"/>
    <n v="13"/>
    <n v="90"/>
    <n v="1170"/>
    <d v="1899-12-30T01:40:48"/>
    <n v="1088.0999999999999"/>
    <d v="2020-05-03T00:00:00"/>
    <d v="2020-05-03T00:00:00"/>
    <n v="209"/>
    <n v="1"/>
    <x v="6"/>
    <n v="7.0000000000000007E-2"/>
    <n v="76.167000000000002"/>
    <n v="6"/>
    <x v="3"/>
  </r>
  <r>
    <n v="210"/>
    <x v="92"/>
    <n v="51"/>
    <s v="Avaré"/>
    <x v="1"/>
    <n v="44"/>
    <n v="113"/>
    <n v="4972"/>
    <d v="1899-12-30T03:36:00"/>
    <n v="4226.2"/>
    <d v="2020-05-07T00:00:00"/>
    <d v="2020-05-07T00:00:00"/>
    <n v="210"/>
    <n v="5"/>
    <x v="9"/>
    <n v="7.0000000000000007E-2"/>
    <n v="295.834"/>
    <n v="7"/>
    <x v="3"/>
  </r>
  <r>
    <n v="211"/>
    <x v="93"/>
    <n v="22"/>
    <s v="Núcleo Bandeirante"/>
    <x v="7"/>
    <n v="21"/>
    <n v="113"/>
    <n v="2373"/>
    <d v="1899-12-30T01:26:24"/>
    <n v="2230.62"/>
    <d v="2020-05-21T00:00:00"/>
    <d v="2020-05-21T00:00:00"/>
    <n v="211"/>
    <n v="5"/>
    <x v="5"/>
    <n v="0.09"/>
    <n v="200.75579999999999"/>
    <n v="1"/>
    <x v="4"/>
  </r>
  <r>
    <n v="212"/>
    <x v="93"/>
    <n v="27"/>
    <s v="Praia Grande"/>
    <x v="0"/>
    <n v="17"/>
    <n v="90"/>
    <n v="1530"/>
    <d v="1899-12-30T02:09:36"/>
    <n v="1392.3"/>
    <d v="2020-05-17T00:00:00"/>
    <d v="2020-05-17T00:00:00"/>
    <n v="212"/>
    <n v="3"/>
    <x v="0"/>
    <n v="0.1"/>
    <n v="139.22999999999999"/>
    <n v="2"/>
    <x v="4"/>
  </r>
  <r>
    <n v="213"/>
    <x v="93"/>
    <n v="83"/>
    <s v="Queimados"/>
    <x v="6"/>
    <n v="18"/>
    <n v="105"/>
    <n v="1890"/>
    <d v="1899-12-30T03:07:12"/>
    <n v="1644.3"/>
    <d v="2020-05-13T00:00:00"/>
    <d v="2020-05-13T00:00:00"/>
    <n v="213"/>
    <n v="1"/>
    <x v="3"/>
    <n v="0.05"/>
    <n v="82.215000000000003"/>
    <n v="3"/>
    <x v="4"/>
  </r>
  <r>
    <n v="214"/>
    <x v="94"/>
    <n v="38"/>
    <s v="Belo Horizonte"/>
    <x v="4"/>
    <n v="40"/>
    <n v="98"/>
    <n v="3920"/>
    <d v="1899-12-30T02:24:00"/>
    <n v="3528"/>
    <d v="2020-05-27T00:00:00"/>
    <d v="2020-05-27T00:00:00"/>
    <n v="214"/>
    <n v="7"/>
    <x v="7"/>
    <n v="7.0000000000000007E-2"/>
    <n v="246.96000000000004"/>
    <n v="4"/>
    <x v="4"/>
  </r>
  <r>
    <n v="215"/>
    <x v="95"/>
    <n v="35"/>
    <s v="São Paulo"/>
    <x v="5"/>
    <n v="13"/>
    <n v="99"/>
    <n v="1287"/>
    <d v="1899-12-30T00:57:36"/>
    <n v="1235.52"/>
    <d v="2020-05-15T00:00:00"/>
    <d v="2020-05-15T00:00:00"/>
    <n v="215"/>
    <n v="1"/>
    <x v="5"/>
    <n v="0.1"/>
    <n v="123.55200000000001"/>
    <n v="5"/>
    <x v="4"/>
  </r>
  <r>
    <n v="216"/>
    <x v="95"/>
    <n v="3"/>
    <s v="Barbacena"/>
    <x v="5"/>
    <n v="31"/>
    <n v="105"/>
    <n v="3255"/>
    <d v="1899-12-30T01:55:12"/>
    <n v="2994.6"/>
    <d v="2020-05-22T00:00:00"/>
    <d v="2020-05-22T00:00:00"/>
    <n v="216"/>
    <n v="2"/>
    <x v="3"/>
    <n v="0.09"/>
    <n v="269.51400000000001"/>
    <n v="6"/>
    <x v="4"/>
  </r>
  <r>
    <n v="217"/>
    <x v="96"/>
    <n v="25"/>
    <s v="Belém"/>
    <x v="3"/>
    <n v="48"/>
    <n v="108"/>
    <n v="5184"/>
    <d v="1899-12-30T03:07:12"/>
    <n v="4510.08"/>
    <d v="2020-05-23T00:00:00"/>
    <d v="2020-05-23T00:00:00"/>
    <n v="217"/>
    <n v="7"/>
    <x v="3"/>
    <n v="0.1"/>
    <n v="451.00800000000004"/>
    <n v="7"/>
    <x v="4"/>
  </r>
  <r>
    <n v="218"/>
    <x v="96"/>
    <n v="8"/>
    <s v="São Paulo"/>
    <x v="6"/>
    <n v="18"/>
    <n v="90"/>
    <n v="1620"/>
    <d v="1899-12-30T03:36:00"/>
    <n v="1377"/>
    <d v="2020-05-08T00:00:00"/>
    <d v="2020-05-08T00:00:00"/>
    <n v="218"/>
    <n v="6"/>
    <x v="9"/>
    <n v="0.08"/>
    <n v="110.16"/>
    <n v="1"/>
    <x v="4"/>
  </r>
  <r>
    <n v="219"/>
    <x v="97"/>
    <n v="20"/>
    <s v="São Bernardo do Campo"/>
    <x v="9"/>
    <n v="48"/>
    <n v="120"/>
    <n v="5760"/>
    <d v="1899-12-30T01:12:00"/>
    <n v="5472"/>
    <d v="2020-05-06T00:00:00"/>
    <d v="2020-05-06T00:00:00"/>
    <n v="219"/>
    <n v="5"/>
    <x v="6"/>
    <n v="7.0000000000000007E-2"/>
    <n v="383.04"/>
    <n v="2"/>
    <x v="4"/>
  </r>
  <r>
    <n v="220"/>
    <x v="98"/>
    <n v="78"/>
    <s v="Governador Valadares"/>
    <x v="3"/>
    <n v="42"/>
    <n v="104"/>
    <n v="4368"/>
    <d v="1899-12-30T02:52:48"/>
    <n v="3843.84"/>
    <d v="2020-05-14T00:00:00"/>
    <d v="2020-05-14T00:00:00"/>
    <n v="220"/>
    <n v="3"/>
    <x v="1"/>
    <n v="0.06"/>
    <n v="230.63040000000001"/>
    <n v="3"/>
    <x v="4"/>
  </r>
  <r>
    <n v="221"/>
    <x v="98"/>
    <n v="99"/>
    <s v="Foz do Iguaçu"/>
    <x v="7"/>
    <n v="38"/>
    <n v="113"/>
    <n v="4294"/>
    <d v="1899-12-30T02:24:00"/>
    <n v="3864.6"/>
    <d v="2020-05-25T00:00:00"/>
    <d v="2020-05-25T00:00:00"/>
    <n v="221"/>
    <n v="7"/>
    <x v="1"/>
    <n v="7.0000000000000007E-2"/>
    <n v="270.52199999999999"/>
    <n v="4"/>
    <x v="4"/>
  </r>
  <r>
    <n v="222"/>
    <x v="98"/>
    <n v="98"/>
    <s v="Recife"/>
    <x v="9"/>
    <n v="17"/>
    <n v="120"/>
    <n v="2040"/>
    <d v="1899-12-30T01:55:12"/>
    <n v="1876.8"/>
    <d v="2020-05-16T00:00:00"/>
    <d v="2020-05-16T00:00:00"/>
    <n v="222"/>
    <n v="2"/>
    <x v="4"/>
    <n v="0.08"/>
    <n v="150.14400000000001"/>
    <n v="5"/>
    <x v="4"/>
  </r>
  <r>
    <n v="223"/>
    <x v="98"/>
    <n v="97"/>
    <s v="Franca"/>
    <x v="1"/>
    <n v="25"/>
    <n v="117"/>
    <n v="2925"/>
    <d v="1899-12-30T00:14:24"/>
    <n v="2895.75"/>
    <d v="2020-05-25T00:00:00"/>
    <d v="2020-05-25T00:00:00"/>
    <n v="223"/>
    <n v="5"/>
    <x v="5"/>
    <n v="0.1"/>
    <n v="289.57499999999999"/>
    <n v="6"/>
    <x v="4"/>
  </r>
  <r>
    <n v="224"/>
    <x v="99"/>
    <n v="61"/>
    <s v="Petrópolis"/>
    <x v="2"/>
    <n v="35"/>
    <n v="104"/>
    <n v="3640"/>
    <d v="1899-12-30T01:55:12"/>
    <n v="3348.8"/>
    <d v="2020-05-25T00:00:00"/>
    <d v="2020-05-25T00:00:00"/>
    <n v="224"/>
    <n v="3"/>
    <x v="1"/>
    <n v="0.05"/>
    <n v="167.44000000000003"/>
    <n v="7"/>
    <x v="4"/>
  </r>
  <r>
    <n v="225"/>
    <x v="99"/>
    <n v="46"/>
    <s v="Curitiba"/>
    <x v="3"/>
    <n v="12"/>
    <n v="107"/>
    <n v="1284"/>
    <d v="1899-12-30T01:55:12"/>
    <n v="1181.28"/>
    <d v="2020-05-23T00:00:00"/>
    <d v="2020-05-23T00:00:00"/>
    <n v="225"/>
    <n v="5"/>
    <x v="4"/>
    <n v="0.09"/>
    <n v="106.31519999999999"/>
    <n v="1"/>
    <x v="4"/>
  </r>
  <r>
    <n v="226"/>
    <x v="100"/>
    <n v="8"/>
    <s v="São Paulo"/>
    <x v="1"/>
    <n v="33"/>
    <n v="107"/>
    <n v="3531"/>
    <d v="1899-12-30T01:40:48"/>
    <n v="3283.83"/>
    <d v="2020-05-21T00:00:00"/>
    <d v="2020-05-21T00:00:00"/>
    <n v="226"/>
    <n v="2"/>
    <x v="9"/>
    <n v="0.08"/>
    <n v="262.70639999999997"/>
    <n v="2"/>
    <x v="4"/>
  </r>
  <r>
    <n v="227"/>
    <x v="100"/>
    <n v="93"/>
    <s v="Salvador"/>
    <x v="8"/>
    <n v="16"/>
    <n v="92"/>
    <n v="1472"/>
    <d v="1899-12-30T00:14:24"/>
    <n v="1457.28"/>
    <d v="2020-05-31T00:00:00"/>
    <d v="2020-05-31T00:00:00"/>
    <n v="227"/>
    <n v="1"/>
    <x v="2"/>
    <n v="0.05"/>
    <n v="72.864000000000004"/>
    <n v="3"/>
    <x v="4"/>
  </r>
  <r>
    <n v="228"/>
    <x v="101"/>
    <n v="72"/>
    <s v="São Paulo"/>
    <x v="8"/>
    <n v="35"/>
    <n v="91"/>
    <n v="3185"/>
    <d v="1899-12-30T01:12:00"/>
    <n v="3025.75"/>
    <d v="2020-05-23T00:00:00"/>
    <d v="2020-05-23T00:00:00"/>
    <n v="228"/>
    <n v="3"/>
    <x v="5"/>
    <n v="0.1"/>
    <n v="302.57499999999999"/>
    <n v="4"/>
    <x v="4"/>
  </r>
  <r>
    <n v="229"/>
    <x v="101"/>
    <n v="13"/>
    <s v="Contagem"/>
    <x v="3"/>
    <n v="10"/>
    <n v="97"/>
    <n v="970"/>
    <d v="1899-12-30T02:38:24"/>
    <n v="863.3"/>
    <d v="2020-06-01T00:00:00"/>
    <d v="2020-06-01T00:00:00"/>
    <n v="229"/>
    <n v="4"/>
    <x v="6"/>
    <n v="0.05"/>
    <n v="43.164999999999999"/>
    <n v="5"/>
    <x v="4"/>
  </r>
  <r>
    <n v="230"/>
    <x v="101"/>
    <n v="39"/>
    <s v="São Paulo"/>
    <x v="1"/>
    <n v="50"/>
    <n v="114"/>
    <n v="5700"/>
    <d v="1899-12-30T01:55:12"/>
    <n v="5244"/>
    <d v="2020-05-20T00:00:00"/>
    <d v="2020-05-20T00:00:00"/>
    <n v="230"/>
    <n v="4"/>
    <x v="2"/>
    <n v="0.09"/>
    <n v="471.96"/>
    <n v="6"/>
    <x v="4"/>
  </r>
  <r>
    <n v="231"/>
    <x v="101"/>
    <n v="72"/>
    <s v="São Paulo"/>
    <x v="3"/>
    <n v="41"/>
    <n v="118"/>
    <n v="4838"/>
    <d v="1899-12-30T03:07:12"/>
    <n v="4209.0599999999995"/>
    <d v="2020-05-30T00:00:00"/>
    <d v="2020-05-30T00:00:00"/>
    <n v="231"/>
    <n v="3"/>
    <x v="2"/>
    <n v="0.06"/>
    <n v="252.54359999999997"/>
    <n v="7"/>
    <x v="4"/>
  </r>
  <r>
    <n v="232"/>
    <x v="102"/>
    <n v="3"/>
    <s v="Barbacena"/>
    <x v="9"/>
    <n v="35"/>
    <n v="91"/>
    <n v="3185"/>
    <d v="1899-12-30T02:09:36"/>
    <n v="2898.35"/>
    <d v="2020-06-05T00:00:00"/>
    <d v="2020-06-05T00:00:00"/>
    <n v="232"/>
    <n v="1"/>
    <x v="2"/>
    <n v="0.06"/>
    <n v="173.90099999999998"/>
    <n v="1"/>
    <x v="4"/>
  </r>
  <r>
    <n v="233"/>
    <x v="102"/>
    <n v="44"/>
    <s v="Atibaia"/>
    <x v="2"/>
    <n v="15"/>
    <n v="106"/>
    <n v="1590"/>
    <d v="1899-12-30T02:24:00"/>
    <n v="1431"/>
    <d v="2020-05-26T00:00:00"/>
    <d v="2020-05-26T00:00:00"/>
    <n v="233"/>
    <n v="4"/>
    <x v="6"/>
    <n v="0.05"/>
    <n v="71.55"/>
    <n v="2"/>
    <x v="4"/>
  </r>
  <r>
    <n v="234"/>
    <x v="103"/>
    <n v="32"/>
    <s v="Vila Velha"/>
    <x v="2"/>
    <n v="31"/>
    <n v="118"/>
    <n v="3658"/>
    <d v="1899-12-30T01:40:48"/>
    <n v="3401.94"/>
    <d v="2020-06-08T00:00:00"/>
    <d v="2020-06-08T00:00:00"/>
    <n v="234"/>
    <n v="3"/>
    <x v="7"/>
    <n v="0.1"/>
    <n v="340.19400000000002"/>
    <n v="3"/>
    <x v="4"/>
  </r>
  <r>
    <n v="235"/>
    <x v="103"/>
    <n v="47"/>
    <s v="Fortaleza"/>
    <x v="4"/>
    <n v="35"/>
    <n v="103"/>
    <n v="3605"/>
    <d v="1899-12-30T01:40:48"/>
    <n v="3352.65"/>
    <d v="2020-05-30T00:00:00"/>
    <d v="2020-05-30T00:00:00"/>
    <n v="235"/>
    <n v="1"/>
    <x v="5"/>
    <n v="0.08"/>
    <n v="268.21199999999999"/>
    <n v="4"/>
    <x v="4"/>
  </r>
  <r>
    <n v="236"/>
    <x v="104"/>
    <n v="29"/>
    <s v="Teófilo Otoni"/>
    <x v="6"/>
    <n v="17"/>
    <n v="100"/>
    <n v="1700"/>
    <d v="1899-12-30T02:38:24"/>
    <n v="1513"/>
    <d v="2020-05-13T00:00:00"/>
    <d v="2020-05-13T00:00:00"/>
    <n v="236"/>
    <n v="1"/>
    <x v="8"/>
    <n v="7.0000000000000007E-2"/>
    <n v="105.91000000000001"/>
    <n v="5"/>
    <x v="4"/>
  </r>
  <r>
    <n v="237"/>
    <x v="104"/>
    <n v="11"/>
    <s v="Cachoeiro de Itapemirim"/>
    <x v="2"/>
    <n v="40"/>
    <n v="116"/>
    <n v="4640"/>
    <d v="1899-12-30T00:28:48"/>
    <n v="4547.2"/>
    <d v="2020-05-22T00:00:00"/>
    <d v="2020-05-22T00:00:00"/>
    <n v="237"/>
    <n v="6"/>
    <x v="3"/>
    <n v="0.05"/>
    <n v="227.36"/>
    <n v="6"/>
    <x v="4"/>
  </r>
  <r>
    <n v="238"/>
    <x v="104"/>
    <n v="66"/>
    <s v="Gurupi"/>
    <x v="1"/>
    <n v="46"/>
    <n v="113"/>
    <n v="5198"/>
    <d v="1899-12-30T00:14:24"/>
    <n v="5146.0200000000004"/>
    <d v="2020-05-23T00:00:00"/>
    <d v="2020-05-23T00:00:00"/>
    <n v="238"/>
    <n v="7"/>
    <x v="2"/>
    <n v="7.0000000000000007E-2"/>
    <n v="360.22140000000007"/>
    <n v="7"/>
    <x v="4"/>
  </r>
  <r>
    <n v="239"/>
    <x v="105"/>
    <n v="17"/>
    <s v="Rio de Janeiro"/>
    <x v="8"/>
    <n v="31"/>
    <n v="96"/>
    <n v="2976"/>
    <d v="1899-12-30T02:38:24"/>
    <n v="2648.64"/>
    <d v="2020-06-05T00:00:00"/>
    <d v="2020-06-05T00:00:00"/>
    <n v="239"/>
    <n v="4"/>
    <x v="3"/>
    <n v="0.1"/>
    <n v="264.86399999999998"/>
    <n v="1"/>
    <x v="4"/>
  </r>
  <r>
    <n v="240"/>
    <x v="105"/>
    <n v="12"/>
    <s v="São José do Rio Preto"/>
    <x v="6"/>
    <n v="45"/>
    <n v="119"/>
    <n v="5355"/>
    <d v="1899-12-30T01:12:00"/>
    <n v="5087.25"/>
    <d v="2020-05-31T00:00:00"/>
    <d v="2020-05-31T00:00:00"/>
    <n v="240"/>
    <n v="7"/>
    <x v="7"/>
    <n v="0.05"/>
    <n v="254.36250000000001"/>
    <n v="2"/>
    <x v="4"/>
  </r>
  <r>
    <n v="241"/>
    <x v="105"/>
    <n v="94"/>
    <s v="Goiânia"/>
    <x v="3"/>
    <n v="41"/>
    <n v="91"/>
    <n v="3731"/>
    <d v="1899-12-30T02:38:24"/>
    <n v="3320.59"/>
    <d v="2020-06-01T00:00:00"/>
    <d v="2020-06-01T00:00:00"/>
    <n v="241"/>
    <n v="5"/>
    <x v="2"/>
    <n v="0.05"/>
    <n v="166.02950000000001"/>
    <n v="3"/>
    <x v="4"/>
  </r>
  <r>
    <n v="242"/>
    <x v="106"/>
    <n v="60"/>
    <s v="Serra"/>
    <x v="7"/>
    <n v="21"/>
    <n v="107"/>
    <n v="2247"/>
    <d v="1899-12-30T02:09:36"/>
    <n v="2044.77"/>
    <d v="2020-06-07T00:00:00"/>
    <d v="2020-06-07T00:00:00"/>
    <n v="242"/>
    <n v="7"/>
    <x v="9"/>
    <n v="0.1"/>
    <n v="204.477"/>
    <n v="4"/>
    <x v="4"/>
  </r>
  <r>
    <n v="243"/>
    <x v="106"/>
    <n v="70"/>
    <s v="Rio de Janeiro"/>
    <x v="7"/>
    <n v="50"/>
    <n v="98"/>
    <n v="4900"/>
    <d v="1899-12-30T03:07:12"/>
    <n v="4263"/>
    <d v="2020-05-27T00:00:00"/>
    <d v="2020-05-27T00:00:00"/>
    <n v="243"/>
    <n v="3"/>
    <x v="0"/>
    <n v="0.1"/>
    <n v="426.3"/>
    <n v="5"/>
    <x v="4"/>
  </r>
  <r>
    <n v="244"/>
    <x v="106"/>
    <n v="41"/>
    <s v="São João Del Rei"/>
    <x v="3"/>
    <n v="16"/>
    <n v="107"/>
    <n v="1712"/>
    <d v="1899-12-30T00:57:36"/>
    <n v="1643.52"/>
    <d v="2020-06-06T00:00:00"/>
    <d v="2020-06-06T00:00:00"/>
    <n v="244"/>
    <n v="4"/>
    <x v="7"/>
    <n v="0.08"/>
    <n v="131.48160000000001"/>
    <n v="6"/>
    <x v="4"/>
  </r>
  <r>
    <n v="245"/>
    <x v="107"/>
    <n v="46"/>
    <s v="Curitiba"/>
    <x v="1"/>
    <n v="38"/>
    <n v="113"/>
    <n v="4294"/>
    <d v="1899-12-30T02:38:24"/>
    <n v="3821.66"/>
    <d v="2020-05-19T00:00:00"/>
    <d v="2020-05-19T00:00:00"/>
    <n v="245"/>
    <n v="6"/>
    <x v="3"/>
    <n v="0.05"/>
    <n v="191.083"/>
    <n v="7"/>
    <x v="4"/>
  </r>
  <r>
    <n v="246"/>
    <x v="107"/>
    <n v="61"/>
    <s v="Petrópolis"/>
    <x v="5"/>
    <n v="32"/>
    <n v="98"/>
    <n v="3136"/>
    <d v="1899-12-30T03:07:12"/>
    <n v="2728.32"/>
    <d v="2020-05-25T00:00:00"/>
    <d v="2020-05-25T00:00:00"/>
    <n v="246"/>
    <n v="7"/>
    <x v="1"/>
    <n v="7.0000000000000007E-2"/>
    <n v="190.98240000000004"/>
    <n v="1"/>
    <x v="4"/>
  </r>
  <r>
    <n v="247"/>
    <x v="108"/>
    <n v="14"/>
    <s v="Eunápolis"/>
    <x v="9"/>
    <n v="11"/>
    <n v="100"/>
    <n v="1100"/>
    <d v="1899-12-30T02:52:48"/>
    <n v="968"/>
    <d v="2020-06-09T00:00:00"/>
    <d v="2020-06-09T00:00:00"/>
    <n v="247"/>
    <n v="4"/>
    <x v="1"/>
    <n v="0.09"/>
    <n v="87.11999999999999"/>
    <n v="2"/>
    <x v="4"/>
  </r>
  <r>
    <n v="248"/>
    <x v="108"/>
    <n v="77"/>
    <s v="Sorocaba"/>
    <x v="7"/>
    <n v="33"/>
    <n v="117"/>
    <n v="3861"/>
    <d v="1899-12-30T00:57:36"/>
    <n v="3706.56"/>
    <d v="2020-06-14T00:00:00"/>
    <d v="2020-06-14T00:00:00"/>
    <n v="248"/>
    <n v="7"/>
    <x v="4"/>
    <n v="0.05"/>
    <n v="185.328"/>
    <n v="3"/>
    <x v="4"/>
  </r>
  <r>
    <n v="249"/>
    <x v="109"/>
    <n v="69"/>
    <s v="Rio de Janeiro"/>
    <x v="3"/>
    <n v="37"/>
    <n v="102"/>
    <n v="3774"/>
    <d v="1899-12-30T03:07:12"/>
    <n v="3283.38"/>
    <d v="2020-05-21T00:00:00"/>
    <d v="2020-05-21T00:00:00"/>
    <n v="249"/>
    <n v="1"/>
    <x v="5"/>
    <n v="0.05"/>
    <n v="164.16900000000001"/>
    <n v="4"/>
    <x v="4"/>
  </r>
  <r>
    <n v="250"/>
    <x v="109"/>
    <n v="36"/>
    <s v="Campo Largo"/>
    <x v="3"/>
    <n v="25"/>
    <n v="109"/>
    <n v="2725"/>
    <d v="1899-12-30T02:24:00"/>
    <n v="2452.5"/>
    <d v="2020-06-15T00:00:00"/>
    <d v="2020-06-15T00:00:00"/>
    <n v="250"/>
    <n v="7"/>
    <x v="8"/>
    <n v="7.0000000000000007E-2"/>
    <n v="171.67500000000001"/>
    <n v="5"/>
    <x v="4"/>
  </r>
  <r>
    <n v="251"/>
    <x v="109"/>
    <n v="61"/>
    <s v="Petrópolis"/>
    <x v="2"/>
    <n v="25"/>
    <n v="114"/>
    <n v="2850"/>
    <d v="1899-12-30T02:52:48"/>
    <n v="2508"/>
    <d v="2020-05-20T00:00:00"/>
    <d v="2020-05-20T00:00:00"/>
    <n v="251"/>
    <n v="5"/>
    <x v="4"/>
    <n v="0.08"/>
    <n v="200.64000000000001"/>
    <n v="6"/>
    <x v="4"/>
  </r>
  <r>
    <n v="252"/>
    <x v="109"/>
    <n v="24"/>
    <s v="Viamão"/>
    <x v="9"/>
    <n v="36"/>
    <n v="103"/>
    <n v="3708"/>
    <d v="1899-12-30T00:00:00"/>
    <n v="3708"/>
    <d v="2020-05-21T00:00:00"/>
    <d v="2020-05-21T00:00:00"/>
    <n v="252"/>
    <n v="7"/>
    <x v="7"/>
    <n v="7.0000000000000007E-2"/>
    <n v="259.56"/>
    <n v="7"/>
    <x v="4"/>
  </r>
  <r>
    <n v="253"/>
    <x v="110"/>
    <n v="72"/>
    <s v="São Paulo"/>
    <x v="4"/>
    <n v="35"/>
    <n v="120"/>
    <n v="4200"/>
    <d v="1899-12-30T03:36:00"/>
    <n v="3570"/>
    <d v="2020-06-17T00:00:00"/>
    <d v="2020-06-17T00:00:00"/>
    <n v="253"/>
    <n v="7"/>
    <x v="9"/>
    <n v="7.0000000000000007E-2"/>
    <n v="249.90000000000003"/>
    <n v="1"/>
    <x v="4"/>
  </r>
  <r>
    <n v="254"/>
    <x v="110"/>
    <n v="30"/>
    <s v="Vitória da Conquista"/>
    <x v="2"/>
    <n v="37"/>
    <n v="115"/>
    <n v="4255"/>
    <d v="1899-12-30T03:36:00"/>
    <n v="3616.75"/>
    <d v="2020-06-06T00:00:00"/>
    <d v="2020-06-06T00:00:00"/>
    <n v="254"/>
    <n v="1"/>
    <x v="2"/>
    <n v="0.1"/>
    <n v="361.67500000000001"/>
    <n v="2"/>
    <x v="4"/>
  </r>
  <r>
    <n v="255"/>
    <x v="111"/>
    <n v="43"/>
    <s v="Dourados"/>
    <x v="2"/>
    <n v="47"/>
    <n v="98"/>
    <n v="4606"/>
    <d v="1899-12-30T03:36:00"/>
    <n v="3915.1"/>
    <d v="2020-05-26T00:00:00"/>
    <d v="2020-05-26T00:00:00"/>
    <n v="255"/>
    <n v="5"/>
    <x v="4"/>
    <n v="0.1"/>
    <n v="391.51"/>
    <n v="3"/>
    <x v="4"/>
  </r>
  <r>
    <n v="256"/>
    <x v="111"/>
    <n v="46"/>
    <s v="Curitiba"/>
    <x v="6"/>
    <n v="30"/>
    <n v="114"/>
    <n v="3420"/>
    <d v="1899-12-30T02:52:48"/>
    <n v="3009.6"/>
    <d v="2020-05-27T00:00:00"/>
    <d v="2020-05-27T00:00:00"/>
    <n v="256"/>
    <n v="6"/>
    <x v="8"/>
    <n v="0.06"/>
    <n v="180.57599999999999"/>
    <n v="4"/>
    <x v="4"/>
  </r>
  <r>
    <n v="257"/>
    <x v="111"/>
    <n v="31"/>
    <s v="Juiz de Fora"/>
    <x v="3"/>
    <n v="23"/>
    <n v="95"/>
    <n v="2185"/>
    <d v="1899-12-30T03:07:12"/>
    <n v="1900.95"/>
    <d v="2020-05-31T00:00:00"/>
    <d v="2020-05-31T00:00:00"/>
    <n v="257"/>
    <n v="7"/>
    <x v="1"/>
    <n v="0.05"/>
    <n v="95.047500000000014"/>
    <n v="5"/>
    <x v="4"/>
  </r>
  <r>
    <n v="258"/>
    <x v="112"/>
    <n v="53"/>
    <s v="Jaú"/>
    <x v="6"/>
    <n v="11"/>
    <n v="92"/>
    <n v="1012"/>
    <d v="1899-12-30T00:28:48"/>
    <n v="991.76"/>
    <d v="2020-05-27T00:00:00"/>
    <d v="2020-05-27T00:00:00"/>
    <n v="258"/>
    <n v="5"/>
    <x v="5"/>
    <n v="0.08"/>
    <n v="79.340800000000002"/>
    <n v="6"/>
    <x v="4"/>
  </r>
  <r>
    <n v="259"/>
    <x v="113"/>
    <n v="75"/>
    <s v="São Paulo"/>
    <x v="3"/>
    <n v="30"/>
    <n v="108"/>
    <n v="3240"/>
    <d v="1899-12-30T03:36:00"/>
    <n v="2754"/>
    <d v="2020-06-11T00:00:00"/>
    <d v="2020-06-11T00:00:00"/>
    <n v="259"/>
    <n v="6"/>
    <x v="9"/>
    <n v="0.1"/>
    <n v="275.40000000000003"/>
    <n v="7"/>
    <x v="4"/>
  </r>
  <r>
    <n v="260"/>
    <x v="113"/>
    <n v="49"/>
    <s v="São Paulo"/>
    <x v="0"/>
    <n v="45"/>
    <n v="95"/>
    <n v="4275"/>
    <d v="1899-12-30T00:14:24"/>
    <n v="4232.25"/>
    <d v="2020-06-05T00:00:00"/>
    <d v="2020-06-05T00:00:00"/>
    <n v="260"/>
    <n v="3"/>
    <x v="0"/>
    <n v="7.0000000000000007E-2"/>
    <n v="296.25750000000005"/>
    <n v="1"/>
    <x v="4"/>
  </r>
  <r>
    <n v="261"/>
    <x v="113"/>
    <n v="48"/>
    <s v="Guarulhos"/>
    <x v="3"/>
    <n v="17"/>
    <n v="113"/>
    <n v="1921"/>
    <d v="1899-12-30T02:09:36"/>
    <n v="1748.1100000000001"/>
    <d v="2020-06-18T00:00:00"/>
    <d v="2020-06-18T00:00:00"/>
    <n v="261"/>
    <n v="2"/>
    <x v="9"/>
    <n v="7.0000000000000007E-2"/>
    <n v="122.36770000000001"/>
    <n v="2"/>
    <x v="4"/>
  </r>
  <r>
    <n v="262"/>
    <x v="113"/>
    <n v="47"/>
    <s v="Fortaleza"/>
    <x v="8"/>
    <n v="25"/>
    <n v="110"/>
    <n v="2750"/>
    <d v="1899-12-30T00:57:36"/>
    <n v="2640"/>
    <d v="2020-05-29T00:00:00"/>
    <d v="2020-05-29T00:00:00"/>
    <n v="262"/>
    <n v="5"/>
    <x v="8"/>
    <n v="0.09"/>
    <n v="237.6"/>
    <n v="3"/>
    <x v="4"/>
  </r>
  <r>
    <n v="263"/>
    <x v="114"/>
    <n v="6"/>
    <s v="Jaú"/>
    <x v="2"/>
    <n v="21"/>
    <n v="111"/>
    <n v="2331"/>
    <d v="1899-12-30T01:26:24"/>
    <n v="2191.14"/>
    <d v="2020-06-10T00:00:00"/>
    <d v="2020-06-10T00:00:00"/>
    <n v="263"/>
    <n v="1"/>
    <x v="5"/>
    <n v="0.06"/>
    <n v="131.46839999999997"/>
    <n v="4"/>
    <x v="4"/>
  </r>
  <r>
    <n v="264"/>
    <x v="114"/>
    <n v="53"/>
    <s v="Jaú"/>
    <x v="6"/>
    <n v="26"/>
    <n v="100"/>
    <n v="2600"/>
    <d v="1899-12-30T03:36:00"/>
    <n v="2210"/>
    <d v="2020-06-03T00:00:00"/>
    <d v="2020-06-03T00:00:00"/>
    <n v="264"/>
    <n v="2"/>
    <x v="3"/>
    <n v="7.0000000000000007E-2"/>
    <n v="154.70000000000002"/>
    <n v="5"/>
    <x v="4"/>
  </r>
  <r>
    <n v="265"/>
    <x v="114"/>
    <n v="62"/>
    <s v="São Paulo"/>
    <x v="2"/>
    <n v="39"/>
    <n v="96"/>
    <n v="3744"/>
    <d v="1899-12-30T01:55:12"/>
    <n v="3444.48"/>
    <d v="2020-06-22T00:00:00"/>
    <d v="2020-06-22T00:00:00"/>
    <n v="265"/>
    <n v="7"/>
    <x v="0"/>
    <n v="0.1"/>
    <n v="344.44800000000004"/>
    <n v="6"/>
    <x v="4"/>
  </r>
  <r>
    <n v="266"/>
    <x v="114"/>
    <n v="63"/>
    <s v="Catanduva"/>
    <x v="4"/>
    <n v="25"/>
    <n v="117"/>
    <n v="2925"/>
    <d v="1899-12-30T03:21:36"/>
    <n v="2515.5"/>
    <d v="2020-05-26T00:00:00"/>
    <d v="2020-05-26T00:00:00"/>
    <n v="266"/>
    <n v="1"/>
    <x v="2"/>
    <n v="0.09"/>
    <n v="226.39499999999998"/>
    <n v="7"/>
    <x v="4"/>
  </r>
  <r>
    <n v="267"/>
    <x v="114"/>
    <n v="61"/>
    <s v="Petrópolis"/>
    <x v="2"/>
    <n v="44"/>
    <n v="106"/>
    <n v="4664"/>
    <d v="1899-12-30T00:43:12"/>
    <n v="4524.08"/>
    <d v="2020-05-30T00:00:00"/>
    <d v="2020-05-30T00:00:00"/>
    <n v="267"/>
    <n v="5"/>
    <x v="0"/>
    <n v="0.06"/>
    <n v="271.44479999999999"/>
    <n v="1"/>
    <x v="4"/>
  </r>
  <r>
    <n v="268"/>
    <x v="114"/>
    <n v="6"/>
    <s v="Jaú"/>
    <x v="2"/>
    <n v="29"/>
    <n v="100"/>
    <n v="2900"/>
    <d v="1899-12-30T01:55:12"/>
    <n v="2668"/>
    <d v="2020-06-15T00:00:00"/>
    <d v="2020-06-15T00:00:00"/>
    <n v="268"/>
    <n v="2"/>
    <x v="5"/>
    <n v="0.1"/>
    <n v="266.8"/>
    <n v="2"/>
    <x v="4"/>
  </r>
  <r>
    <n v="269"/>
    <x v="115"/>
    <n v="28"/>
    <s v="João Pessoa"/>
    <x v="9"/>
    <n v="17"/>
    <n v="93"/>
    <n v="1581"/>
    <d v="1899-12-30T00:00:00"/>
    <n v="1581"/>
    <d v="2020-06-18T00:00:00"/>
    <d v="2020-06-18T00:00:00"/>
    <n v="269"/>
    <n v="7"/>
    <x v="4"/>
    <n v="0.1"/>
    <n v="158.10000000000002"/>
    <n v="3"/>
    <x v="4"/>
  </r>
  <r>
    <n v="270"/>
    <x v="115"/>
    <n v="35"/>
    <s v="São Paulo"/>
    <x v="6"/>
    <n v="23"/>
    <n v="96"/>
    <n v="2208"/>
    <d v="1899-12-30T03:07:12"/>
    <n v="1920.96"/>
    <d v="2020-06-18T00:00:00"/>
    <d v="2020-06-18T00:00:00"/>
    <n v="270"/>
    <n v="7"/>
    <x v="9"/>
    <n v="0.09"/>
    <n v="172.88640000000001"/>
    <n v="4"/>
    <x v="4"/>
  </r>
  <r>
    <n v="271"/>
    <x v="115"/>
    <n v="98"/>
    <s v="Recife"/>
    <x v="3"/>
    <n v="30"/>
    <n v="108"/>
    <n v="3240"/>
    <d v="1899-12-30T00:57:36"/>
    <n v="3110.4"/>
    <d v="2020-06-06T00:00:00"/>
    <d v="2020-06-06T00:00:00"/>
    <n v="271"/>
    <n v="3"/>
    <x v="1"/>
    <n v="0.1"/>
    <n v="311.04000000000002"/>
    <n v="5"/>
    <x v="4"/>
  </r>
  <r>
    <n v="272"/>
    <x v="115"/>
    <n v="77"/>
    <s v="Sorocaba"/>
    <x v="3"/>
    <n v="28"/>
    <n v="97"/>
    <n v="2716"/>
    <d v="1899-12-30T02:52:48"/>
    <n v="2390.08"/>
    <d v="2020-05-28T00:00:00"/>
    <d v="2020-05-28T00:00:00"/>
    <n v="272"/>
    <n v="5"/>
    <x v="6"/>
    <n v="0.06"/>
    <n v="143.40479999999999"/>
    <n v="6"/>
    <x v="4"/>
  </r>
  <r>
    <n v="273"/>
    <x v="116"/>
    <n v="73"/>
    <s v="São Paulo"/>
    <x v="0"/>
    <n v="24"/>
    <n v="102"/>
    <n v="2448"/>
    <d v="1899-12-30T02:09:36"/>
    <n v="2227.6799999999998"/>
    <d v="2020-06-22T00:00:00"/>
    <d v="2020-06-22T00:00:00"/>
    <n v="273"/>
    <n v="4"/>
    <x v="1"/>
    <n v="0.06"/>
    <n v="133.66079999999999"/>
    <n v="7"/>
    <x v="4"/>
  </r>
  <r>
    <n v="274"/>
    <x v="117"/>
    <n v="94"/>
    <s v="Goiânia"/>
    <x v="3"/>
    <n v="47"/>
    <n v="110"/>
    <n v="5170"/>
    <d v="1899-12-30T01:26:24"/>
    <n v="4859.8"/>
    <d v="2020-06-06T00:00:00"/>
    <d v="2020-06-06T00:00:00"/>
    <n v="274"/>
    <n v="4"/>
    <x v="5"/>
    <n v="7.0000000000000007E-2"/>
    <n v="340.18600000000004"/>
    <n v="1"/>
    <x v="4"/>
  </r>
  <r>
    <n v="275"/>
    <x v="117"/>
    <n v="42"/>
    <s v="Mauá"/>
    <x v="5"/>
    <n v="22"/>
    <n v="119"/>
    <n v="2618"/>
    <d v="1899-12-30T01:12:00"/>
    <n v="2487.1"/>
    <d v="2020-06-21T00:00:00"/>
    <d v="2020-06-21T00:00:00"/>
    <n v="275"/>
    <n v="3"/>
    <x v="0"/>
    <n v="0.09"/>
    <n v="223.83899999999997"/>
    <n v="2"/>
    <x v="4"/>
  </r>
  <r>
    <n v="276"/>
    <x v="117"/>
    <n v="1"/>
    <s v="Santos"/>
    <x v="7"/>
    <n v="47"/>
    <n v="99"/>
    <n v="4653"/>
    <d v="1899-12-30T02:52:48"/>
    <n v="4094.64"/>
    <d v="2020-06-07T00:00:00"/>
    <d v="2020-06-07T00:00:00"/>
    <n v="276"/>
    <n v="1"/>
    <x v="6"/>
    <n v="0.06"/>
    <n v="245.67839999999998"/>
    <n v="3"/>
    <x v="4"/>
  </r>
  <r>
    <n v="277"/>
    <x v="118"/>
    <n v="63"/>
    <s v="Catanduva"/>
    <x v="1"/>
    <n v="16"/>
    <n v="92"/>
    <n v="1472"/>
    <d v="1899-12-30T00:43:12"/>
    <n v="1427.84"/>
    <d v="2020-06-28T00:00:00"/>
    <d v="2020-06-28T00:00:00"/>
    <n v="277"/>
    <n v="5"/>
    <x v="5"/>
    <n v="0.1"/>
    <n v="142.78399999999999"/>
    <n v="4"/>
    <x v="4"/>
  </r>
  <r>
    <n v="278"/>
    <x v="118"/>
    <n v="37"/>
    <s v="Arcoverde"/>
    <x v="1"/>
    <n v="40"/>
    <n v="97"/>
    <n v="3880"/>
    <d v="1899-12-30T00:57:36"/>
    <n v="3724.8"/>
    <d v="2020-06-06T00:00:00"/>
    <d v="2020-06-06T00:00:00"/>
    <n v="278"/>
    <n v="2"/>
    <x v="3"/>
    <n v="0.05"/>
    <n v="186.24"/>
    <n v="5"/>
    <x v="4"/>
  </r>
  <r>
    <n v="279"/>
    <x v="118"/>
    <n v="10"/>
    <s v="Campinas"/>
    <x v="9"/>
    <n v="17"/>
    <n v="118"/>
    <n v="2006"/>
    <d v="1899-12-30T03:36:00"/>
    <n v="1705.1"/>
    <d v="2020-06-03T00:00:00"/>
    <d v="2020-06-03T00:00:00"/>
    <n v="279"/>
    <n v="3"/>
    <x v="8"/>
    <n v="0.09"/>
    <n v="153.45899999999997"/>
    <n v="6"/>
    <x v="4"/>
  </r>
  <r>
    <n v="280"/>
    <x v="119"/>
    <n v="4"/>
    <s v="João Pessoa"/>
    <x v="3"/>
    <n v="18"/>
    <n v="104"/>
    <n v="1872"/>
    <d v="1899-12-30T03:07:12"/>
    <n v="1628.6399999999999"/>
    <d v="2020-06-26T00:00:00"/>
    <d v="2020-06-26T00:00:00"/>
    <n v="280"/>
    <n v="5"/>
    <x v="6"/>
    <n v="0.05"/>
    <n v="81.432000000000002"/>
    <n v="7"/>
    <x v="4"/>
  </r>
  <r>
    <n v="281"/>
    <x v="119"/>
    <n v="59"/>
    <s v="Garanhuns"/>
    <x v="3"/>
    <n v="38"/>
    <n v="110"/>
    <n v="4180"/>
    <d v="1899-12-30T03:07:12"/>
    <n v="3636.6"/>
    <d v="2020-06-11T00:00:00"/>
    <d v="2020-06-11T00:00:00"/>
    <n v="281"/>
    <n v="7"/>
    <x v="9"/>
    <n v="0.08"/>
    <n v="290.928"/>
    <n v="1"/>
    <x v="4"/>
  </r>
  <r>
    <n v="282"/>
    <x v="120"/>
    <n v="55"/>
    <s v="Manaus"/>
    <x v="8"/>
    <n v="30"/>
    <n v="108"/>
    <n v="3240"/>
    <d v="1899-12-30T00:00:00"/>
    <n v="3240"/>
    <d v="2020-06-15T00:00:00"/>
    <d v="2020-06-15T00:00:00"/>
    <n v="282"/>
    <n v="3"/>
    <x v="5"/>
    <n v="0.05"/>
    <n v="162"/>
    <n v="2"/>
    <x v="5"/>
  </r>
  <r>
    <n v="283"/>
    <x v="120"/>
    <n v="18"/>
    <s v="Bagé"/>
    <x v="2"/>
    <n v="35"/>
    <n v="102"/>
    <n v="3570"/>
    <d v="1899-12-30T00:43:12"/>
    <n v="3462.9"/>
    <d v="2020-06-22T00:00:00"/>
    <d v="2020-06-22T00:00:00"/>
    <n v="283"/>
    <n v="7"/>
    <x v="9"/>
    <n v="0.08"/>
    <n v="277.03200000000004"/>
    <n v="3"/>
    <x v="5"/>
  </r>
  <r>
    <n v="284"/>
    <x v="120"/>
    <n v="98"/>
    <s v="Recife"/>
    <x v="5"/>
    <n v="18"/>
    <n v="94"/>
    <n v="1692"/>
    <d v="1899-12-30T01:12:00"/>
    <n v="1607.4"/>
    <d v="2020-06-14T00:00:00"/>
    <d v="2020-06-14T00:00:00"/>
    <n v="284"/>
    <n v="3"/>
    <x v="2"/>
    <n v="0.1"/>
    <n v="160.74"/>
    <n v="4"/>
    <x v="5"/>
  </r>
  <r>
    <n v="285"/>
    <x v="121"/>
    <n v="83"/>
    <s v="Queimados"/>
    <x v="2"/>
    <n v="19"/>
    <n v="117"/>
    <n v="2223"/>
    <d v="1899-12-30T03:07:12"/>
    <n v="1934.01"/>
    <d v="2020-06-15T00:00:00"/>
    <d v="2020-06-15T00:00:00"/>
    <n v="285"/>
    <n v="3"/>
    <x v="0"/>
    <n v="0.08"/>
    <n v="154.7208"/>
    <n v="5"/>
    <x v="5"/>
  </r>
  <r>
    <n v="286"/>
    <x v="122"/>
    <n v="75"/>
    <s v="São Paulo"/>
    <x v="1"/>
    <n v="17"/>
    <n v="118"/>
    <n v="2006"/>
    <d v="1899-12-30T00:57:36"/>
    <n v="1925.76"/>
    <d v="2020-07-01T00:00:00"/>
    <d v="2020-07-01T00:00:00"/>
    <n v="286"/>
    <n v="7"/>
    <x v="9"/>
    <n v="7.0000000000000007E-2"/>
    <n v="134.8032"/>
    <n v="6"/>
    <x v="5"/>
  </r>
  <r>
    <n v="287"/>
    <x v="122"/>
    <n v="70"/>
    <s v="Rio de Janeiro"/>
    <x v="0"/>
    <n v="22"/>
    <n v="115"/>
    <n v="2530"/>
    <d v="1899-12-30T01:26:24"/>
    <n v="2378.1999999999998"/>
    <d v="2020-06-22T00:00:00"/>
    <d v="2020-06-22T00:00:00"/>
    <n v="287"/>
    <n v="6"/>
    <x v="2"/>
    <n v="0.06"/>
    <n v="142.69199999999998"/>
    <n v="7"/>
    <x v="5"/>
  </r>
  <r>
    <n v="288"/>
    <x v="123"/>
    <n v="48"/>
    <s v="Guarulhos"/>
    <x v="3"/>
    <n v="16"/>
    <n v="112"/>
    <n v="1792"/>
    <d v="1899-12-30T00:57:36"/>
    <n v="1720.32"/>
    <d v="2020-06-27T00:00:00"/>
    <d v="2020-06-27T00:00:00"/>
    <n v="288"/>
    <n v="6"/>
    <x v="5"/>
    <n v="0.08"/>
    <n v="137.62559999999999"/>
    <n v="1"/>
    <x v="5"/>
  </r>
  <r>
    <n v="289"/>
    <x v="124"/>
    <n v="25"/>
    <s v="Belém"/>
    <x v="9"/>
    <n v="37"/>
    <n v="99"/>
    <n v="3663"/>
    <d v="1899-12-30T00:43:12"/>
    <n v="3553.11"/>
    <d v="2020-07-03T00:00:00"/>
    <d v="2020-07-03T00:00:00"/>
    <n v="289"/>
    <n v="6"/>
    <x v="9"/>
    <n v="7.0000000000000007E-2"/>
    <n v="248.71770000000004"/>
    <n v="2"/>
    <x v="5"/>
  </r>
  <r>
    <n v="290"/>
    <x v="124"/>
    <n v="62"/>
    <s v="São Paulo"/>
    <x v="0"/>
    <n v="29"/>
    <n v="120"/>
    <n v="3480"/>
    <d v="1899-12-30T01:40:48"/>
    <n v="3236.4"/>
    <d v="2020-06-13T00:00:00"/>
    <d v="2020-06-13T00:00:00"/>
    <n v="290"/>
    <n v="5"/>
    <x v="4"/>
    <n v="0.1"/>
    <n v="323.64000000000004"/>
    <n v="3"/>
    <x v="5"/>
  </r>
  <r>
    <n v="291"/>
    <x v="124"/>
    <n v="89"/>
    <s v="Goiânia"/>
    <x v="8"/>
    <n v="26"/>
    <n v="105"/>
    <n v="2730"/>
    <d v="1899-12-30T01:12:00"/>
    <n v="2593.5"/>
    <d v="2020-07-06T00:00:00"/>
    <m/>
    <n v="291"/>
    <n v="1"/>
    <x v="1"/>
    <n v="0.1"/>
    <n v="259.35000000000002"/>
    <n v="4"/>
    <x v="5"/>
  </r>
  <r>
    <n v="292"/>
    <x v="124"/>
    <n v="16"/>
    <s v="Eunápolis"/>
    <x v="2"/>
    <n v="36"/>
    <n v="119"/>
    <n v="4284"/>
    <d v="1899-12-30T00:28:48"/>
    <n v="4198.32"/>
    <d v="2020-06-27T00:00:00"/>
    <d v="2020-06-27T00:00:00"/>
    <n v="292"/>
    <n v="6"/>
    <x v="6"/>
    <n v="0.05"/>
    <n v="209.916"/>
    <n v="5"/>
    <x v="5"/>
  </r>
  <r>
    <n v="293"/>
    <x v="125"/>
    <n v="85"/>
    <s v="Piraquara"/>
    <x v="6"/>
    <n v="46"/>
    <n v="117"/>
    <n v="5382"/>
    <d v="1899-12-30T03:21:36"/>
    <n v="4628.5200000000004"/>
    <d v="2020-06-28T00:00:00"/>
    <d v="2020-06-28T00:00:00"/>
    <n v="293"/>
    <n v="1"/>
    <x v="4"/>
    <n v="0.05"/>
    <n v="231.42600000000004"/>
    <n v="6"/>
    <x v="5"/>
  </r>
  <r>
    <n v="294"/>
    <x v="125"/>
    <n v="90"/>
    <s v="Cachoeiro de Itapemirim"/>
    <x v="6"/>
    <n v="29"/>
    <n v="101"/>
    <n v="2929"/>
    <d v="1899-12-30T02:38:24"/>
    <n v="2606.81"/>
    <d v="2020-07-06T00:00:00"/>
    <d v="2020-07-06T00:00:00"/>
    <n v="294"/>
    <n v="3"/>
    <x v="4"/>
    <n v="7.0000000000000007E-2"/>
    <n v="182.47670000000002"/>
    <n v="7"/>
    <x v="5"/>
  </r>
  <r>
    <n v="295"/>
    <x v="126"/>
    <n v="36"/>
    <s v="Campo Largo"/>
    <x v="3"/>
    <n v="18"/>
    <n v="95"/>
    <n v="1710"/>
    <d v="1899-12-30T02:52:48"/>
    <n v="1504.8"/>
    <d v="2020-07-04T00:00:00"/>
    <d v="2020-07-04T00:00:00"/>
    <n v="295"/>
    <n v="6"/>
    <x v="0"/>
    <n v="0.1"/>
    <n v="150.47999999999999"/>
    <n v="1"/>
    <x v="5"/>
  </r>
  <r>
    <n v="296"/>
    <x v="127"/>
    <n v="79"/>
    <s v="Salvador"/>
    <x v="2"/>
    <n v="41"/>
    <n v="112"/>
    <n v="4592"/>
    <d v="1899-12-30T02:24:00"/>
    <n v="4132.8"/>
    <d v="2020-07-07T00:00:00"/>
    <d v="2020-07-07T00:00:00"/>
    <n v="296"/>
    <n v="1"/>
    <x v="0"/>
    <n v="0.1"/>
    <n v="413.28000000000003"/>
    <n v="2"/>
    <x v="5"/>
  </r>
  <r>
    <n v="297"/>
    <x v="127"/>
    <n v="95"/>
    <s v="São Paulo"/>
    <x v="4"/>
    <n v="37"/>
    <n v="96"/>
    <n v="3552"/>
    <d v="1899-12-30T02:24:00"/>
    <n v="3196.8"/>
    <d v="2020-06-22T00:00:00"/>
    <d v="2020-06-22T00:00:00"/>
    <n v="297"/>
    <n v="7"/>
    <x v="0"/>
    <n v="0.06"/>
    <n v="191.80799999999999"/>
    <n v="3"/>
    <x v="5"/>
  </r>
  <r>
    <n v="298"/>
    <x v="127"/>
    <n v="7"/>
    <s v="Cabo de Santo Agostinho"/>
    <x v="6"/>
    <n v="12"/>
    <n v="110"/>
    <n v="1320"/>
    <d v="1899-12-30T02:24:00"/>
    <n v="1188"/>
    <d v="2020-06-14T00:00:00"/>
    <d v="2020-06-14T00:00:00"/>
    <n v="298"/>
    <n v="6"/>
    <x v="5"/>
    <n v="7.0000000000000007E-2"/>
    <n v="83.160000000000011"/>
    <n v="4"/>
    <x v="5"/>
  </r>
  <r>
    <n v="299"/>
    <x v="128"/>
    <n v="30"/>
    <s v="Vitória da Conquista"/>
    <x v="1"/>
    <n v="17"/>
    <n v="104"/>
    <n v="1768"/>
    <d v="1899-12-30T02:09:36"/>
    <n v="1608.88"/>
    <d v="2020-07-09T00:00:00"/>
    <d v="2020-07-09T00:00:00"/>
    <n v="299"/>
    <n v="5"/>
    <x v="3"/>
    <n v="0.05"/>
    <n v="80.444000000000017"/>
    <n v="5"/>
    <x v="5"/>
  </r>
  <r>
    <n v="300"/>
    <x v="128"/>
    <n v="51"/>
    <s v="Avaré"/>
    <x v="5"/>
    <n v="45"/>
    <n v="109"/>
    <n v="4905"/>
    <d v="1899-12-30T02:24:00"/>
    <n v="4414.5"/>
    <d v="2020-06-18T00:00:00"/>
    <d v="2020-06-18T00:00:00"/>
    <n v="300"/>
    <n v="2"/>
    <x v="7"/>
    <n v="0.06"/>
    <n v="264.87"/>
    <n v="6"/>
    <x v="5"/>
  </r>
  <r>
    <n v="301"/>
    <x v="129"/>
    <n v="78"/>
    <s v="Governador Valadares"/>
    <x v="4"/>
    <n v="37"/>
    <n v="101"/>
    <n v="3737"/>
    <d v="1899-12-30T03:21:36"/>
    <n v="3213.8199999999997"/>
    <d v="2020-06-19T00:00:00"/>
    <d v="2020-06-19T00:00:00"/>
    <n v="301"/>
    <n v="1"/>
    <x v="2"/>
    <n v="0.09"/>
    <n v="289.24379999999996"/>
    <n v="7"/>
    <x v="5"/>
  </r>
  <r>
    <n v="302"/>
    <x v="129"/>
    <n v="5"/>
    <s v="São Paulo"/>
    <x v="9"/>
    <n v="48"/>
    <n v="107"/>
    <n v="5136"/>
    <d v="1899-12-30T00:57:36"/>
    <n v="4930.5600000000004"/>
    <d v="2020-06-18T00:00:00"/>
    <m/>
    <n v="302"/>
    <n v="1"/>
    <x v="0"/>
    <n v="0.05"/>
    <n v="246.52800000000002"/>
    <n v="1"/>
    <x v="5"/>
  </r>
  <r>
    <n v="303"/>
    <x v="129"/>
    <n v="33"/>
    <s v="Ituiutaba"/>
    <x v="8"/>
    <n v="28"/>
    <n v="104"/>
    <n v="2912"/>
    <d v="1899-12-30T02:09:36"/>
    <n v="2649.92"/>
    <d v="2020-06-27T00:00:00"/>
    <d v="2020-06-27T00:00:00"/>
    <n v="303"/>
    <n v="4"/>
    <x v="4"/>
    <n v="0.1"/>
    <n v="264.99200000000002"/>
    <n v="2"/>
    <x v="5"/>
  </r>
  <r>
    <n v="304"/>
    <x v="130"/>
    <n v="6"/>
    <s v="Jaú"/>
    <x v="7"/>
    <n v="45"/>
    <n v="107"/>
    <n v="4815"/>
    <d v="1899-12-30T01:26:24"/>
    <n v="4526.1000000000004"/>
    <d v="2020-06-27T00:00:00"/>
    <d v="2020-06-27T00:00:00"/>
    <n v="304"/>
    <n v="7"/>
    <x v="7"/>
    <n v="0.1"/>
    <n v="452.61000000000007"/>
    <n v="3"/>
    <x v="5"/>
  </r>
  <r>
    <n v="305"/>
    <x v="130"/>
    <n v="4"/>
    <s v="João Pessoa"/>
    <x v="2"/>
    <n v="15"/>
    <n v="110"/>
    <n v="1650"/>
    <d v="1899-12-30T00:43:12"/>
    <n v="1600.5"/>
    <d v="2020-07-05T00:00:00"/>
    <d v="2020-07-05T00:00:00"/>
    <n v="305"/>
    <n v="2"/>
    <x v="2"/>
    <n v="0.08"/>
    <n v="128.04"/>
    <n v="4"/>
    <x v="5"/>
  </r>
  <r>
    <n v="306"/>
    <x v="130"/>
    <n v="11"/>
    <s v="Cachoeiro de Itapemirim"/>
    <x v="6"/>
    <n v="18"/>
    <n v="111"/>
    <n v="1998"/>
    <d v="1899-12-30T00:57:36"/>
    <n v="1918.08"/>
    <d v="2020-07-07T00:00:00"/>
    <d v="2020-07-07T00:00:00"/>
    <n v="306"/>
    <n v="1"/>
    <x v="4"/>
    <n v="0.09"/>
    <n v="172.62719999999999"/>
    <n v="5"/>
    <x v="5"/>
  </r>
  <r>
    <n v="307"/>
    <x v="131"/>
    <n v="72"/>
    <s v="São Paulo"/>
    <x v="1"/>
    <n v="30"/>
    <n v="96"/>
    <n v="2880"/>
    <d v="1899-12-30T00:43:12"/>
    <n v="2793.6"/>
    <d v="2020-07-10T00:00:00"/>
    <d v="2020-07-10T00:00:00"/>
    <n v="307"/>
    <n v="1"/>
    <x v="1"/>
    <n v="0.1"/>
    <n v="279.36"/>
    <n v="6"/>
    <x v="5"/>
  </r>
  <r>
    <n v="308"/>
    <x v="131"/>
    <n v="86"/>
    <s v="Jataí"/>
    <x v="6"/>
    <n v="28"/>
    <n v="110"/>
    <n v="3080"/>
    <d v="1899-12-30T01:40:48"/>
    <n v="2864.4"/>
    <d v="2020-07-12T00:00:00"/>
    <d v="2020-07-12T00:00:00"/>
    <n v="308"/>
    <n v="4"/>
    <x v="7"/>
    <n v="0.09"/>
    <n v="257.79599999999999"/>
    <n v="7"/>
    <x v="5"/>
  </r>
  <r>
    <n v="309"/>
    <x v="132"/>
    <n v="46"/>
    <s v="Curitiba"/>
    <x v="1"/>
    <n v="26"/>
    <n v="101"/>
    <n v="2626"/>
    <d v="1899-12-30T01:40:48"/>
    <n v="2442.1799999999998"/>
    <d v="2020-07-04T00:00:00"/>
    <d v="2020-07-04T00:00:00"/>
    <n v="309"/>
    <n v="2"/>
    <x v="7"/>
    <n v="0.1"/>
    <n v="244.21799999999999"/>
    <n v="1"/>
    <x v="5"/>
  </r>
  <r>
    <n v="310"/>
    <x v="132"/>
    <n v="52"/>
    <s v="São Luís"/>
    <x v="0"/>
    <n v="41"/>
    <n v="98"/>
    <n v="4018"/>
    <d v="1899-12-30T03:21:36"/>
    <n v="3455.48"/>
    <d v="2020-07-09T00:00:00"/>
    <d v="2020-07-09T00:00:00"/>
    <n v="310"/>
    <n v="2"/>
    <x v="0"/>
    <n v="0.08"/>
    <n v="276.4384"/>
    <n v="2"/>
    <x v="5"/>
  </r>
  <r>
    <n v="311"/>
    <x v="133"/>
    <n v="31"/>
    <s v="Juiz de Fora"/>
    <x v="7"/>
    <n v="32"/>
    <n v="109"/>
    <n v="3488"/>
    <d v="1899-12-30T01:55:12"/>
    <n v="3208.96"/>
    <d v="2020-06-22T00:00:00"/>
    <d v="2020-06-22T00:00:00"/>
    <n v="311"/>
    <n v="4"/>
    <x v="0"/>
    <n v="7.0000000000000007E-2"/>
    <n v="224.62720000000002"/>
    <n v="3"/>
    <x v="5"/>
  </r>
  <r>
    <n v="312"/>
    <x v="133"/>
    <n v="57"/>
    <s v="Campinas"/>
    <x v="1"/>
    <n v="16"/>
    <n v="103"/>
    <n v="1648"/>
    <d v="1899-12-30T00:43:12"/>
    <n v="1598.56"/>
    <d v="2020-06-18T00:00:00"/>
    <d v="2020-06-18T00:00:00"/>
    <n v="312"/>
    <n v="2"/>
    <x v="0"/>
    <n v="7.0000000000000007E-2"/>
    <n v="111.89920000000001"/>
    <n v="4"/>
    <x v="5"/>
  </r>
  <r>
    <n v="313"/>
    <x v="133"/>
    <n v="18"/>
    <s v="Bagé"/>
    <x v="6"/>
    <n v="50"/>
    <n v="97"/>
    <n v="4850"/>
    <d v="1899-12-30T00:28:48"/>
    <n v="4753"/>
    <d v="2020-07-01T00:00:00"/>
    <d v="2020-07-01T00:00:00"/>
    <n v="313"/>
    <n v="7"/>
    <x v="1"/>
    <n v="0.08"/>
    <n v="380.24"/>
    <n v="5"/>
    <x v="5"/>
  </r>
  <r>
    <n v="314"/>
    <x v="133"/>
    <n v="18"/>
    <s v="Bagé"/>
    <x v="9"/>
    <n v="18"/>
    <n v="100"/>
    <n v="1800"/>
    <d v="1899-12-30T03:21:36"/>
    <n v="1548"/>
    <d v="2020-06-29T00:00:00"/>
    <d v="2020-06-29T00:00:00"/>
    <n v="314"/>
    <n v="2"/>
    <x v="3"/>
    <n v="7.0000000000000007E-2"/>
    <n v="108.36000000000001"/>
    <n v="6"/>
    <x v="5"/>
  </r>
  <r>
    <n v="315"/>
    <x v="134"/>
    <n v="6"/>
    <s v="Jaú"/>
    <x v="9"/>
    <n v="47"/>
    <n v="108"/>
    <n v="5076"/>
    <d v="1899-12-30T01:12:00"/>
    <n v="4822.2"/>
    <d v="2020-06-20T00:00:00"/>
    <d v="2020-06-20T00:00:00"/>
    <n v="315"/>
    <n v="5"/>
    <x v="7"/>
    <n v="0.05"/>
    <n v="241.11"/>
    <n v="7"/>
    <x v="5"/>
  </r>
  <r>
    <n v="316"/>
    <x v="134"/>
    <n v="74"/>
    <s v="São Paulo"/>
    <x v="0"/>
    <n v="34"/>
    <n v="98"/>
    <n v="3332"/>
    <d v="1899-12-30T00:28:48"/>
    <n v="3265.36"/>
    <d v="2020-07-09T00:00:00"/>
    <d v="2020-07-09T00:00:00"/>
    <n v="316"/>
    <n v="2"/>
    <x v="8"/>
    <n v="0.1"/>
    <n v="326.53600000000006"/>
    <n v="1"/>
    <x v="5"/>
  </r>
  <r>
    <n v="317"/>
    <x v="134"/>
    <n v="32"/>
    <s v="Vila Velha"/>
    <x v="1"/>
    <n v="26"/>
    <n v="112"/>
    <n v="2912"/>
    <d v="1899-12-30T02:52:48"/>
    <n v="2562.56"/>
    <d v="2020-06-25T00:00:00"/>
    <d v="2020-06-25T00:00:00"/>
    <n v="317"/>
    <n v="4"/>
    <x v="6"/>
    <n v="0.09"/>
    <n v="230.63039999999998"/>
    <n v="2"/>
    <x v="5"/>
  </r>
  <r>
    <n v="318"/>
    <x v="135"/>
    <n v="84"/>
    <s v="Manaus"/>
    <x v="0"/>
    <n v="46"/>
    <n v="107"/>
    <n v="4922"/>
    <d v="1899-12-30T00:28:48"/>
    <n v="4823.5600000000004"/>
    <d v="2020-07-11T00:00:00"/>
    <d v="2020-07-11T00:00:00"/>
    <n v="318"/>
    <n v="3"/>
    <x v="6"/>
    <n v="0.05"/>
    <n v="241.17800000000003"/>
    <n v="3"/>
    <x v="5"/>
  </r>
  <r>
    <n v="319"/>
    <x v="135"/>
    <n v="41"/>
    <s v="São João Del Rei"/>
    <x v="9"/>
    <n v="25"/>
    <n v="94"/>
    <n v="2350"/>
    <d v="1899-12-30T03:36:00"/>
    <n v="1997.5"/>
    <d v="2020-07-12T00:00:00"/>
    <d v="2020-07-12T00:00:00"/>
    <n v="319"/>
    <n v="4"/>
    <x v="5"/>
    <n v="0.05"/>
    <n v="99.875"/>
    <n v="4"/>
    <x v="5"/>
  </r>
  <r>
    <n v="320"/>
    <x v="135"/>
    <n v="7"/>
    <s v="Cabo de Santo Agostinho"/>
    <x v="8"/>
    <n v="34"/>
    <n v="114"/>
    <n v="3876"/>
    <d v="1899-12-30T01:26:24"/>
    <n v="3643.44"/>
    <d v="2020-06-29T00:00:00"/>
    <d v="2020-06-29T00:00:00"/>
    <n v="320"/>
    <n v="5"/>
    <x v="2"/>
    <n v="0.08"/>
    <n v="291.47520000000003"/>
    <n v="5"/>
    <x v="5"/>
  </r>
  <r>
    <n v="321"/>
    <x v="135"/>
    <n v="16"/>
    <s v="Eunápolis"/>
    <x v="1"/>
    <n v="22"/>
    <n v="115"/>
    <n v="2530"/>
    <d v="1899-12-30T03:36:00"/>
    <n v="2150.5"/>
    <d v="2020-07-08T00:00:00"/>
    <d v="2020-07-08T00:00:00"/>
    <n v="321"/>
    <n v="2"/>
    <x v="7"/>
    <n v="0.05"/>
    <n v="107.52500000000001"/>
    <n v="6"/>
    <x v="5"/>
  </r>
  <r>
    <n v="322"/>
    <x v="136"/>
    <n v="31"/>
    <s v="Juiz de Fora"/>
    <x v="8"/>
    <n v="22"/>
    <n v="92"/>
    <n v="2024"/>
    <d v="1899-12-30T03:21:36"/>
    <n v="1740.6399999999999"/>
    <d v="2020-06-26T00:00:00"/>
    <d v="2020-06-26T00:00:00"/>
    <n v="322"/>
    <n v="1"/>
    <x v="5"/>
    <n v="7.0000000000000007E-2"/>
    <n v="121.84480000000001"/>
    <n v="7"/>
    <x v="5"/>
  </r>
  <r>
    <n v="323"/>
    <x v="136"/>
    <n v="32"/>
    <s v="Vila Velha"/>
    <x v="1"/>
    <n v="14"/>
    <n v="94"/>
    <n v="1316"/>
    <d v="1899-12-30T02:38:24"/>
    <n v="1171.24"/>
    <d v="2020-06-21T00:00:00"/>
    <d v="2020-06-21T00:00:00"/>
    <n v="323"/>
    <n v="7"/>
    <x v="9"/>
    <n v="0.08"/>
    <n v="93.699200000000005"/>
    <n v="1"/>
    <x v="5"/>
  </r>
  <r>
    <n v="324"/>
    <x v="137"/>
    <n v="98"/>
    <s v="Recife"/>
    <x v="6"/>
    <n v="34"/>
    <n v="108"/>
    <n v="3672"/>
    <d v="1899-12-30T02:52:48"/>
    <n v="3231.36"/>
    <d v="2020-06-26T00:00:00"/>
    <d v="2020-06-26T00:00:00"/>
    <n v="324"/>
    <n v="6"/>
    <x v="3"/>
    <n v="0.1"/>
    <n v="323.13600000000002"/>
    <n v="2"/>
    <x v="5"/>
  </r>
  <r>
    <n v="325"/>
    <x v="138"/>
    <n v="60"/>
    <s v="Serra"/>
    <x v="4"/>
    <n v="21"/>
    <n v="110"/>
    <n v="2310"/>
    <d v="1899-12-30T00:28:48"/>
    <n v="2263.8000000000002"/>
    <d v="2020-06-26T00:00:00"/>
    <d v="2020-06-26T00:00:00"/>
    <n v="325"/>
    <n v="5"/>
    <x v="7"/>
    <n v="0.1"/>
    <n v="226.38000000000002"/>
    <n v="3"/>
    <x v="5"/>
  </r>
  <r>
    <n v="326"/>
    <x v="138"/>
    <n v="43"/>
    <s v="Dourados"/>
    <x v="3"/>
    <n v="43"/>
    <n v="109"/>
    <n v="4687"/>
    <d v="1899-12-30T01:26:24"/>
    <n v="4405.78"/>
    <d v="2020-06-26T00:00:00"/>
    <d v="2020-06-26T00:00:00"/>
    <n v="326"/>
    <n v="6"/>
    <x v="4"/>
    <n v="0.08"/>
    <n v="352.4624"/>
    <n v="4"/>
    <x v="5"/>
  </r>
  <r>
    <n v="327"/>
    <x v="138"/>
    <n v="3"/>
    <s v="Barbacena"/>
    <x v="2"/>
    <n v="47"/>
    <n v="92"/>
    <n v="4324"/>
    <d v="1899-12-30T02:09:36"/>
    <n v="3934.84"/>
    <d v="2020-07-06T00:00:00"/>
    <d v="2020-07-06T00:00:00"/>
    <n v="327"/>
    <n v="6"/>
    <x v="0"/>
    <n v="0.06"/>
    <n v="236.09039999999999"/>
    <n v="5"/>
    <x v="5"/>
  </r>
  <r>
    <n v="328"/>
    <x v="139"/>
    <n v="77"/>
    <s v="Sorocaba"/>
    <x v="6"/>
    <n v="48"/>
    <n v="99"/>
    <n v="4752"/>
    <d v="1899-12-30T02:52:48"/>
    <n v="4181.76"/>
    <d v="2020-07-20T00:00:00"/>
    <d v="2020-07-20T00:00:00"/>
    <n v="328"/>
    <n v="6"/>
    <x v="5"/>
    <n v="0.09"/>
    <n v="376.35840000000002"/>
    <n v="6"/>
    <x v="5"/>
  </r>
  <r>
    <n v="329"/>
    <x v="139"/>
    <n v="30"/>
    <s v="Vitória da Conquista"/>
    <x v="6"/>
    <n v="42"/>
    <n v="116"/>
    <n v="4872"/>
    <d v="1899-12-30T03:36:00"/>
    <n v="4141.2"/>
    <d v="2020-07-11T00:00:00"/>
    <d v="2020-07-11T00:00:00"/>
    <n v="329"/>
    <n v="5"/>
    <x v="4"/>
    <n v="0.1"/>
    <n v="414.12"/>
    <n v="7"/>
    <x v="5"/>
  </r>
  <r>
    <n v="330"/>
    <x v="140"/>
    <n v="2"/>
    <s v="Laranjeiras do Sul"/>
    <x v="1"/>
    <n v="20"/>
    <n v="91"/>
    <n v="1820"/>
    <d v="1899-12-30T03:21:36"/>
    <n v="1565.2"/>
    <d v="2020-06-26T00:00:00"/>
    <d v="2020-06-26T00:00:00"/>
    <n v="330"/>
    <n v="3"/>
    <x v="2"/>
    <n v="0.08"/>
    <n v="125.21600000000001"/>
    <n v="1"/>
    <x v="5"/>
  </r>
  <r>
    <n v="331"/>
    <x v="140"/>
    <n v="28"/>
    <s v="João Pessoa"/>
    <x v="2"/>
    <n v="10"/>
    <n v="91"/>
    <n v="910"/>
    <d v="1899-12-30T01:40:48"/>
    <n v="846.3"/>
    <d v="2020-07-12T00:00:00"/>
    <d v="2020-07-12T00:00:00"/>
    <n v="331"/>
    <n v="1"/>
    <x v="5"/>
    <n v="7.0000000000000007E-2"/>
    <n v="59.241"/>
    <n v="2"/>
    <x v="5"/>
  </r>
  <r>
    <n v="332"/>
    <x v="140"/>
    <n v="69"/>
    <s v="Rio de Janeiro"/>
    <x v="4"/>
    <n v="13"/>
    <n v="107"/>
    <n v="1391"/>
    <d v="1899-12-30T00:57:36"/>
    <n v="1335.36"/>
    <d v="2020-07-15T00:00:00"/>
    <d v="2020-07-15T00:00:00"/>
    <n v="332"/>
    <n v="1"/>
    <x v="8"/>
    <n v="0.05"/>
    <n v="66.768000000000001"/>
    <n v="3"/>
    <x v="5"/>
  </r>
  <r>
    <n v="333"/>
    <x v="140"/>
    <n v="20"/>
    <s v="São Bernardo do Campo"/>
    <x v="9"/>
    <n v="32"/>
    <n v="98"/>
    <n v="3136"/>
    <d v="1899-12-30T00:00:00"/>
    <n v="3136"/>
    <d v="2020-06-29T00:00:00"/>
    <d v="2020-06-29T00:00:00"/>
    <n v="333"/>
    <n v="6"/>
    <x v="8"/>
    <n v="0.08"/>
    <n v="250.88"/>
    <n v="4"/>
    <x v="5"/>
  </r>
  <r>
    <n v="334"/>
    <x v="140"/>
    <n v="13"/>
    <s v="Contagem"/>
    <x v="8"/>
    <n v="16"/>
    <n v="98"/>
    <n v="1568"/>
    <d v="1899-12-30T00:28:48"/>
    <n v="1536.64"/>
    <d v="2020-07-18T00:00:00"/>
    <d v="2020-07-18T00:00:00"/>
    <n v="334"/>
    <n v="6"/>
    <x v="0"/>
    <n v="7.0000000000000007E-2"/>
    <n v="107.56480000000002"/>
    <n v="5"/>
    <x v="5"/>
  </r>
  <r>
    <n v="335"/>
    <x v="141"/>
    <n v="22"/>
    <s v="Núcleo Bandeirante"/>
    <x v="6"/>
    <n v="45"/>
    <n v="94"/>
    <n v="4230"/>
    <d v="1899-12-30T03:36:00"/>
    <n v="3595.5"/>
    <d v="2020-07-22T00:00:00"/>
    <d v="2020-07-22T00:00:00"/>
    <n v="335"/>
    <n v="3"/>
    <x v="3"/>
    <n v="7.0000000000000007E-2"/>
    <n v="251.68500000000003"/>
    <n v="6"/>
    <x v="5"/>
  </r>
  <r>
    <n v="336"/>
    <x v="141"/>
    <n v="53"/>
    <s v="Jaú"/>
    <x v="2"/>
    <n v="42"/>
    <n v="98"/>
    <n v="4116"/>
    <d v="1899-12-30T03:21:36"/>
    <n v="3539.76"/>
    <d v="2020-07-24T00:00:00"/>
    <d v="2020-07-24T00:00:00"/>
    <n v="336"/>
    <n v="6"/>
    <x v="3"/>
    <n v="0.09"/>
    <n v="318.57839999999999"/>
    <n v="7"/>
    <x v="5"/>
  </r>
  <r>
    <n v="337"/>
    <x v="142"/>
    <n v="47"/>
    <s v="Fortaleza"/>
    <x v="9"/>
    <n v="26"/>
    <n v="117"/>
    <n v="3042"/>
    <d v="1899-12-30T02:24:00"/>
    <n v="2737.8"/>
    <d v="2020-07-20T00:00:00"/>
    <d v="2020-07-20T00:00:00"/>
    <n v="337"/>
    <n v="5"/>
    <x v="7"/>
    <n v="7.0000000000000007E-2"/>
    <n v="191.64600000000004"/>
    <n v="1"/>
    <x v="5"/>
  </r>
  <r>
    <n v="338"/>
    <x v="142"/>
    <n v="2"/>
    <s v="Laranjeiras do Sul"/>
    <x v="3"/>
    <n v="43"/>
    <n v="101"/>
    <n v="4343"/>
    <d v="1899-12-30T02:52:48"/>
    <n v="3821.84"/>
    <d v="2020-07-15T00:00:00"/>
    <d v="2020-07-15T00:00:00"/>
    <n v="338"/>
    <n v="2"/>
    <x v="6"/>
    <n v="0.08"/>
    <n v="305.74720000000002"/>
    <n v="2"/>
    <x v="5"/>
  </r>
  <r>
    <n v="339"/>
    <x v="142"/>
    <n v="80"/>
    <s v="São Paulo"/>
    <x v="0"/>
    <n v="37"/>
    <n v="92"/>
    <n v="3404"/>
    <d v="1899-12-30T02:09:36"/>
    <n v="3097.64"/>
    <d v="2020-07-06T00:00:00"/>
    <d v="2020-07-06T00:00:00"/>
    <n v="339"/>
    <n v="2"/>
    <x v="5"/>
    <n v="0.06"/>
    <n v="185.85839999999999"/>
    <n v="3"/>
    <x v="5"/>
  </r>
  <r>
    <n v="340"/>
    <x v="143"/>
    <n v="77"/>
    <s v="Sorocaba"/>
    <x v="2"/>
    <n v="43"/>
    <n v="110"/>
    <n v="4730"/>
    <d v="1899-12-30T01:26:24"/>
    <n v="4446.2"/>
    <d v="2020-07-25T00:00:00"/>
    <d v="2020-07-25T00:00:00"/>
    <n v="340"/>
    <n v="4"/>
    <x v="2"/>
    <n v="0.05"/>
    <n v="222.31"/>
    <n v="4"/>
    <x v="5"/>
  </r>
  <r>
    <n v="341"/>
    <x v="143"/>
    <n v="13"/>
    <s v="Contagem"/>
    <x v="3"/>
    <n v="37"/>
    <n v="92"/>
    <n v="3404"/>
    <d v="1899-12-30T02:52:48"/>
    <n v="2995.52"/>
    <d v="2020-07-16T00:00:00"/>
    <d v="2020-07-16T00:00:00"/>
    <n v="341"/>
    <n v="1"/>
    <x v="6"/>
    <n v="0.1"/>
    <n v="299.55200000000002"/>
    <n v="5"/>
    <x v="5"/>
  </r>
  <r>
    <n v="342"/>
    <x v="144"/>
    <n v="16"/>
    <s v="Eunápolis"/>
    <x v="5"/>
    <n v="27"/>
    <n v="104"/>
    <n v="2808"/>
    <d v="1899-12-30T01:40:48"/>
    <n v="2611.44"/>
    <d v="2020-07-04T00:00:00"/>
    <d v="2020-07-04T00:00:00"/>
    <n v="342"/>
    <n v="2"/>
    <x v="1"/>
    <n v="7.0000000000000007E-2"/>
    <n v="182.80080000000001"/>
    <n v="6"/>
    <x v="5"/>
  </r>
  <r>
    <n v="343"/>
    <x v="145"/>
    <n v="68"/>
    <s v="Goiânia"/>
    <x v="3"/>
    <n v="18"/>
    <n v="90"/>
    <n v="1620"/>
    <d v="1899-12-30T01:26:24"/>
    <n v="1522.8"/>
    <d v="2020-07-24T00:00:00"/>
    <d v="2020-07-24T00:00:00"/>
    <n v="343"/>
    <n v="4"/>
    <x v="9"/>
    <n v="0.09"/>
    <n v="137.05199999999999"/>
    <n v="7"/>
    <x v="5"/>
  </r>
  <r>
    <n v="344"/>
    <x v="145"/>
    <n v="16"/>
    <s v="Eunápolis"/>
    <x v="9"/>
    <n v="38"/>
    <n v="107"/>
    <n v="4066"/>
    <d v="1899-12-30T00:00:00"/>
    <n v="4066"/>
    <d v="2020-07-19T00:00:00"/>
    <d v="2020-07-19T00:00:00"/>
    <n v="344"/>
    <n v="5"/>
    <x v="9"/>
    <n v="7.0000000000000007E-2"/>
    <n v="284.62"/>
    <n v="1"/>
    <x v="5"/>
  </r>
  <r>
    <n v="345"/>
    <x v="146"/>
    <n v="30"/>
    <s v="Vitória da Conquista"/>
    <x v="2"/>
    <n v="48"/>
    <n v="98"/>
    <n v="4704"/>
    <d v="1899-12-30T00:57:36"/>
    <n v="4515.84"/>
    <d v="2020-07-05T00:00:00"/>
    <d v="2020-07-05T00:00:00"/>
    <n v="345"/>
    <n v="5"/>
    <x v="9"/>
    <n v="7.0000000000000007E-2"/>
    <n v="316.10880000000003"/>
    <n v="2"/>
    <x v="6"/>
  </r>
  <r>
    <n v="346"/>
    <x v="146"/>
    <n v="51"/>
    <s v="Avaré"/>
    <x v="7"/>
    <n v="22"/>
    <n v="115"/>
    <n v="2530"/>
    <d v="1899-12-30T01:40:48"/>
    <n v="2352.9"/>
    <d v="2020-07-07T00:00:00"/>
    <d v="2020-07-07T00:00:00"/>
    <n v="346"/>
    <n v="4"/>
    <x v="8"/>
    <n v="0.05"/>
    <n v="117.64500000000001"/>
    <n v="3"/>
    <x v="6"/>
  </r>
  <r>
    <n v="347"/>
    <x v="146"/>
    <n v="31"/>
    <s v="Juiz de Fora"/>
    <x v="2"/>
    <n v="12"/>
    <n v="119"/>
    <n v="1428"/>
    <d v="1899-12-30T03:07:12"/>
    <n v="1242.3599999999999"/>
    <d v="2020-07-19T00:00:00"/>
    <d v="2020-07-19T00:00:00"/>
    <n v="347"/>
    <n v="5"/>
    <x v="1"/>
    <n v="7.0000000000000007E-2"/>
    <n v="86.965199999999996"/>
    <n v="4"/>
    <x v="6"/>
  </r>
  <r>
    <n v="348"/>
    <x v="147"/>
    <n v="8"/>
    <s v="São Paulo"/>
    <x v="4"/>
    <n v="29"/>
    <n v="107"/>
    <n v="3103"/>
    <d v="1899-12-30T00:28:48"/>
    <n v="3040.94"/>
    <d v="2020-07-21T00:00:00"/>
    <m/>
    <n v="348"/>
    <n v="4"/>
    <x v="8"/>
    <n v="0.08"/>
    <n v="243.27520000000001"/>
    <n v="5"/>
    <x v="6"/>
  </r>
  <r>
    <n v="349"/>
    <x v="148"/>
    <n v="20"/>
    <s v="São Bernardo do Campo"/>
    <x v="1"/>
    <n v="48"/>
    <n v="109"/>
    <n v="5232"/>
    <d v="1899-12-30T01:40:48"/>
    <n v="4865.76"/>
    <d v="2020-07-24T00:00:00"/>
    <d v="2020-07-24T00:00:00"/>
    <n v="349"/>
    <n v="4"/>
    <x v="2"/>
    <n v="0.09"/>
    <n v="437.91840000000002"/>
    <n v="6"/>
    <x v="6"/>
  </r>
  <r>
    <n v="350"/>
    <x v="149"/>
    <n v="37"/>
    <s v="Arcoverde"/>
    <x v="9"/>
    <n v="23"/>
    <n v="97"/>
    <n v="2231"/>
    <d v="1899-12-30T03:36:00"/>
    <n v="1896.35"/>
    <d v="2020-07-24T00:00:00"/>
    <d v="2020-07-24T00:00:00"/>
    <n v="350"/>
    <n v="3"/>
    <x v="8"/>
    <n v="0.1"/>
    <n v="189.63499999999999"/>
    <n v="7"/>
    <x v="6"/>
  </r>
  <r>
    <n v="351"/>
    <x v="149"/>
    <n v="20"/>
    <s v="São Bernardo do Campo"/>
    <x v="5"/>
    <n v="42"/>
    <n v="94"/>
    <n v="3948"/>
    <d v="1899-12-30T01:26:24"/>
    <n v="3711.12"/>
    <d v="2020-08-04T00:00:00"/>
    <d v="2020-08-04T00:00:00"/>
    <n v="351"/>
    <n v="1"/>
    <x v="0"/>
    <n v="0.1"/>
    <n v="371.11200000000002"/>
    <n v="1"/>
    <x v="6"/>
  </r>
  <r>
    <n v="352"/>
    <x v="150"/>
    <n v="6"/>
    <s v="Jaú"/>
    <x v="0"/>
    <n v="40"/>
    <n v="103"/>
    <n v="4120"/>
    <d v="1899-12-30T01:40:48"/>
    <n v="3831.6"/>
    <d v="2020-07-07T00:00:00"/>
    <d v="2020-07-07T00:00:00"/>
    <n v="352"/>
    <n v="5"/>
    <x v="9"/>
    <n v="0.09"/>
    <n v="344.84399999999999"/>
    <n v="2"/>
    <x v="6"/>
  </r>
  <r>
    <n v="353"/>
    <x v="150"/>
    <n v="44"/>
    <s v="Atibaia"/>
    <x v="4"/>
    <n v="48"/>
    <n v="115"/>
    <n v="5520"/>
    <d v="1899-12-30T02:09:36"/>
    <n v="5023.2"/>
    <d v="2020-07-26T00:00:00"/>
    <d v="2020-07-26T00:00:00"/>
    <n v="353"/>
    <n v="1"/>
    <x v="4"/>
    <n v="0.1"/>
    <n v="502.32"/>
    <n v="3"/>
    <x v="6"/>
  </r>
  <r>
    <n v="354"/>
    <x v="151"/>
    <n v="32"/>
    <s v="Vila Velha"/>
    <x v="3"/>
    <n v="48"/>
    <n v="112"/>
    <n v="5376"/>
    <d v="1899-12-30T02:24:00"/>
    <n v="4838.3999999999996"/>
    <d v="2020-07-09T00:00:00"/>
    <d v="2020-07-09T00:00:00"/>
    <n v="354"/>
    <n v="3"/>
    <x v="6"/>
    <n v="0.08"/>
    <n v="387.072"/>
    <n v="4"/>
    <x v="6"/>
  </r>
  <r>
    <n v="355"/>
    <x v="152"/>
    <n v="73"/>
    <s v="São Paulo"/>
    <x v="1"/>
    <n v="17"/>
    <n v="93"/>
    <n v="1581"/>
    <d v="1899-12-30T02:52:48"/>
    <n v="1391.28"/>
    <d v="2020-07-26T00:00:00"/>
    <d v="2020-07-26T00:00:00"/>
    <n v="355"/>
    <n v="4"/>
    <x v="8"/>
    <n v="0.08"/>
    <n v="111.30240000000001"/>
    <n v="5"/>
    <x v="6"/>
  </r>
  <r>
    <n v="356"/>
    <x v="153"/>
    <n v="14"/>
    <s v="Eunápolis"/>
    <x v="8"/>
    <n v="11"/>
    <n v="114"/>
    <n v="1254"/>
    <d v="1899-12-30T02:09:36"/>
    <n v="1141.1400000000001"/>
    <d v="2020-07-27T00:00:00"/>
    <d v="2020-07-27T00:00:00"/>
    <n v="356"/>
    <n v="5"/>
    <x v="9"/>
    <n v="0.08"/>
    <n v="91.291200000000003"/>
    <n v="6"/>
    <x v="6"/>
  </r>
  <r>
    <n v="357"/>
    <x v="154"/>
    <n v="30"/>
    <s v="Vitória da Conquista"/>
    <x v="1"/>
    <n v="43"/>
    <n v="120"/>
    <n v="5160"/>
    <d v="1899-12-30T02:24:00"/>
    <n v="4644"/>
    <d v="2020-07-22T00:00:00"/>
    <d v="2020-07-22T00:00:00"/>
    <n v="357"/>
    <n v="4"/>
    <x v="6"/>
    <n v="0.09"/>
    <n v="417.96"/>
    <n v="7"/>
    <x v="6"/>
  </r>
  <r>
    <n v="358"/>
    <x v="155"/>
    <n v="42"/>
    <s v="Mauá"/>
    <x v="8"/>
    <n v="36"/>
    <n v="94"/>
    <n v="3384"/>
    <d v="1899-12-30T00:57:36"/>
    <n v="3248.64"/>
    <d v="2020-07-30T00:00:00"/>
    <d v="2020-07-30T00:00:00"/>
    <n v="358"/>
    <n v="1"/>
    <x v="1"/>
    <n v="0.05"/>
    <n v="162.43200000000002"/>
    <n v="1"/>
    <x v="6"/>
  </r>
  <r>
    <n v="359"/>
    <x v="155"/>
    <n v="4"/>
    <s v="João Pessoa"/>
    <x v="3"/>
    <n v="11"/>
    <n v="103"/>
    <n v="1133"/>
    <d v="1899-12-30T02:09:36"/>
    <n v="1031.03"/>
    <d v="2020-08-10T00:00:00"/>
    <d v="2020-08-10T00:00:00"/>
    <n v="359"/>
    <n v="6"/>
    <x v="0"/>
    <n v="0.05"/>
    <n v="51.551500000000004"/>
    <n v="2"/>
    <x v="6"/>
  </r>
  <r>
    <n v="360"/>
    <x v="155"/>
    <n v="82"/>
    <s v="Rio de Janeiro"/>
    <x v="4"/>
    <n v="11"/>
    <n v="100"/>
    <n v="1100"/>
    <d v="1899-12-30T01:40:48"/>
    <n v="1023"/>
    <d v="2020-08-08T00:00:00"/>
    <d v="2020-08-08T00:00:00"/>
    <n v="360"/>
    <n v="2"/>
    <x v="9"/>
    <n v="0.06"/>
    <n v="61.379999999999995"/>
    <n v="3"/>
    <x v="6"/>
  </r>
  <r>
    <n v="361"/>
    <x v="156"/>
    <n v="70"/>
    <s v="Rio de Janeiro"/>
    <x v="5"/>
    <n v="16"/>
    <n v="112"/>
    <n v="1792"/>
    <d v="1899-12-30T01:40:48"/>
    <n v="1666.56"/>
    <d v="2020-07-16T00:00:00"/>
    <d v="2020-07-16T00:00:00"/>
    <n v="361"/>
    <n v="2"/>
    <x v="4"/>
    <n v="7.0000000000000007E-2"/>
    <n v="116.65920000000001"/>
    <n v="4"/>
    <x v="6"/>
  </r>
  <r>
    <n v="362"/>
    <x v="156"/>
    <n v="78"/>
    <s v="Governador Valadares"/>
    <x v="5"/>
    <n v="10"/>
    <n v="103"/>
    <n v="1030"/>
    <d v="1899-12-30T01:12:00"/>
    <n v="978.5"/>
    <d v="2020-07-13T00:00:00"/>
    <d v="2020-07-13T00:00:00"/>
    <n v="362"/>
    <n v="2"/>
    <x v="3"/>
    <n v="0.09"/>
    <n v="88.064999999999998"/>
    <n v="5"/>
    <x v="6"/>
  </r>
  <r>
    <n v="363"/>
    <x v="157"/>
    <n v="14"/>
    <s v="Eunápolis"/>
    <x v="2"/>
    <n v="39"/>
    <n v="105"/>
    <n v="4095"/>
    <d v="1899-12-30T01:12:00"/>
    <n v="3890.25"/>
    <d v="2020-08-06T00:00:00"/>
    <d v="2020-08-06T00:00:00"/>
    <n v="363"/>
    <n v="7"/>
    <x v="9"/>
    <n v="0.1"/>
    <n v="389.02500000000003"/>
    <n v="6"/>
    <x v="6"/>
  </r>
  <r>
    <n v="364"/>
    <x v="158"/>
    <n v="17"/>
    <s v="Rio de Janeiro"/>
    <x v="8"/>
    <n v="40"/>
    <n v="112"/>
    <n v="4480"/>
    <d v="1899-12-30T00:57:36"/>
    <n v="4300.8"/>
    <d v="2020-08-12T00:00:00"/>
    <d v="2020-08-12T00:00:00"/>
    <n v="364"/>
    <n v="6"/>
    <x v="3"/>
    <n v="0.1"/>
    <n v="430.08000000000004"/>
    <n v="7"/>
    <x v="6"/>
  </r>
  <r>
    <n v="365"/>
    <x v="158"/>
    <n v="22"/>
    <s v="Núcleo Bandeirante"/>
    <x v="4"/>
    <n v="22"/>
    <n v="111"/>
    <n v="2442"/>
    <d v="1899-12-30T02:38:24"/>
    <n v="2173.38"/>
    <d v="2020-07-26T00:00:00"/>
    <d v="2020-07-26T00:00:00"/>
    <n v="365"/>
    <n v="6"/>
    <x v="3"/>
    <n v="0.08"/>
    <n v="173.87040000000002"/>
    <n v="1"/>
    <x v="6"/>
  </r>
  <r>
    <n v="366"/>
    <x v="159"/>
    <n v="56"/>
    <s v="Rio de Janeiro"/>
    <x v="4"/>
    <n v="26"/>
    <n v="96"/>
    <n v="2496"/>
    <d v="1899-12-30T01:55:12"/>
    <n v="2296.3200000000002"/>
    <d v="2020-07-28T00:00:00"/>
    <d v="2020-07-28T00:00:00"/>
    <n v="366"/>
    <n v="6"/>
    <x v="6"/>
    <n v="0.1"/>
    <n v="229.63200000000003"/>
    <n v="2"/>
    <x v="6"/>
  </r>
  <r>
    <n v="367"/>
    <x v="160"/>
    <n v="16"/>
    <s v="Eunápolis"/>
    <x v="2"/>
    <n v="26"/>
    <n v="118"/>
    <n v="3068"/>
    <d v="1899-12-30T00:28:48"/>
    <n v="3006.64"/>
    <d v="2020-08-17T00:00:00"/>
    <d v="2020-08-17T00:00:00"/>
    <n v="367"/>
    <n v="1"/>
    <x v="6"/>
    <n v="7.0000000000000007E-2"/>
    <n v="210.46480000000003"/>
    <n v="3"/>
    <x v="6"/>
  </r>
  <r>
    <n v="368"/>
    <x v="160"/>
    <n v="72"/>
    <s v="São Paulo"/>
    <x v="9"/>
    <n v="38"/>
    <n v="104"/>
    <n v="3952"/>
    <d v="1899-12-30T00:14:24"/>
    <n v="3912.48"/>
    <d v="2020-08-10T00:00:00"/>
    <d v="2020-08-10T00:00:00"/>
    <n v="368"/>
    <n v="6"/>
    <x v="4"/>
    <n v="7.0000000000000007E-2"/>
    <n v="273.87360000000001"/>
    <n v="4"/>
    <x v="6"/>
  </r>
  <r>
    <n v="369"/>
    <x v="160"/>
    <n v="8"/>
    <s v="São Paulo"/>
    <x v="6"/>
    <n v="43"/>
    <n v="94"/>
    <n v="4042"/>
    <d v="1899-12-30T03:36:00"/>
    <n v="3435.7"/>
    <d v="2020-07-19T00:00:00"/>
    <d v="2020-07-19T00:00:00"/>
    <n v="369"/>
    <n v="6"/>
    <x v="8"/>
    <n v="0.09"/>
    <n v="309.21299999999997"/>
    <n v="5"/>
    <x v="6"/>
  </r>
  <r>
    <n v="370"/>
    <x v="161"/>
    <n v="66"/>
    <s v="Gurupi"/>
    <x v="0"/>
    <n v="50"/>
    <n v="112"/>
    <n v="5600"/>
    <d v="1899-12-30T00:43:12"/>
    <n v="5432"/>
    <d v="2020-08-05T00:00:00"/>
    <d v="2020-08-05T00:00:00"/>
    <n v="370"/>
    <n v="5"/>
    <x v="2"/>
    <n v="0.06"/>
    <n v="325.92"/>
    <n v="6"/>
    <x v="6"/>
  </r>
  <r>
    <n v="371"/>
    <x v="161"/>
    <n v="17"/>
    <s v="Rio de Janeiro"/>
    <x v="3"/>
    <n v="39"/>
    <n v="116"/>
    <n v="4524"/>
    <d v="1899-12-30T03:36:00"/>
    <n v="3845.4"/>
    <d v="2020-08-06T00:00:00"/>
    <d v="2020-08-06T00:00:00"/>
    <n v="371"/>
    <n v="3"/>
    <x v="4"/>
    <n v="0.05"/>
    <n v="192.27"/>
    <n v="7"/>
    <x v="6"/>
  </r>
  <r>
    <n v="372"/>
    <x v="162"/>
    <n v="57"/>
    <s v="Campinas"/>
    <x v="5"/>
    <n v="24"/>
    <n v="102"/>
    <n v="2448"/>
    <d v="1899-12-30T00:57:36"/>
    <n v="2350.08"/>
    <d v="2020-08-20T00:00:00"/>
    <d v="2020-08-20T00:00:00"/>
    <n v="372"/>
    <n v="4"/>
    <x v="3"/>
    <n v="0.06"/>
    <n v="141.00479999999999"/>
    <n v="1"/>
    <x v="6"/>
  </r>
  <r>
    <n v="373"/>
    <x v="163"/>
    <n v="32"/>
    <s v="Vila Velha"/>
    <x v="5"/>
    <n v="22"/>
    <n v="99"/>
    <n v="2178"/>
    <d v="1899-12-30T00:43:12"/>
    <n v="2112.66"/>
    <d v="2020-08-09T00:00:00"/>
    <d v="2020-08-09T00:00:00"/>
    <n v="373"/>
    <n v="3"/>
    <x v="4"/>
    <n v="0.08"/>
    <n v="169.0128"/>
    <n v="2"/>
    <x v="6"/>
  </r>
  <r>
    <n v="374"/>
    <x v="163"/>
    <n v="97"/>
    <s v="Franca"/>
    <x v="5"/>
    <n v="41"/>
    <n v="105"/>
    <n v="4305"/>
    <d v="1899-12-30T00:28:48"/>
    <n v="4218.8999999999996"/>
    <d v="2020-08-07T00:00:00"/>
    <d v="2020-08-07T00:00:00"/>
    <n v="374"/>
    <n v="5"/>
    <x v="1"/>
    <n v="7.0000000000000007E-2"/>
    <n v="295.32299999999998"/>
    <n v="3"/>
    <x v="6"/>
  </r>
  <r>
    <n v="375"/>
    <x v="163"/>
    <n v="53"/>
    <s v="Jaú"/>
    <x v="1"/>
    <n v="33"/>
    <n v="99"/>
    <n v="3267"/>
    <d v="1899-12-30T01:40:48"/>
    <n v="3038.31"/>
    <d v="2020-08-01T00:00:00"/>
    <d v="2020-08-01T00:00:00"/>
    <n v="375"/>
    <n v="5"/>
    <x v="9"/>
    <n v="7.0000000000000007E-2"/>
    <n v="212.68170000000001"/>
    <n v="4"/>
    <x v="6"/>
  </r>
  <r>
    <n v="376"/>
    <x v="164"/>
    <n v="75"/>
    <s v="São Paulo"/>
    <x v="1"/>
    <n v="38"/>
    <n v="120"/>
    <n v="4560"/>
    <d v="1899-12-30T03:36:00"/>
    <n v="3876"/>
    <d v="2020-07-29T00:00:00"/>
    <d v="2020-07-29T00:00:00"/>
    <n v="376"/>
    <n v="2"/>
    <x v="3"/>
    <n v="0.06"/>
    <n v="232.56"/>
    <n v="5"/>
    <x v="6"/>
  </r>
  <r>
    <n v="377"/>
    <x v="164"/>
    <n v="93"/>
    <s v="Salvador"/>
    <x v="9"/>
    <n v="10"/>
    <n v="93"/>
    <n v="930"/>
    <d v="1899-12-30T03:21:36"/>
    <n v="799.8"/>
    <d v="2020-08-16T00:00:00"/>
    <d v="2020-08-16T00:00:00"/>
    <n v="377"/>
    <n v="3"/>
    <x v="1"/>
    <n v="7.0000000000000007E-2"/>
    <n v="55.986000000000004"/>
    <n v="6"/>
    <x v="6"/>
  </r>
  <r>
    <n v="378"/>
    <x v="164"/>
    <n v="33"/>
    <s v="Ituiutaba"/>
    <x v="5"/>
    <n v="13"/>
    <n v="105"/>
    <n v="1365"/>
    <d v="1899-12-30T00:43:12"/>
    <n v="1324.05"/>
    <d v="2020-07-30T00:00:00"/>
    <d v="2020-07-30T00:00:00"/>
    <n v="378"/>
    <n v="6"/>
    <x v="5"/>
    <n v="0.08"/>
    <n v="105.92399999999999"/>
    <n v="7"/>
    <x v="6"/>
  </r>
  <r>
    <n v="379"/>
    <x v="165"/>
    <n v="63"/>
    <s v="Catanduva"/>
    <x v="9"/>
    <n v="27"/>
    <n v="107"/>
    <n v="2889"/>
    <d v="1899-12-30T02:24:00"/>
    <n v="2600.1"/>
    <d v="2020-08-18T00:00:00"/>
    <d v="2020-08-18T00:00:00"/>
    <n v="379"/>
    <n v="7"/>
    <x v="7"/>
    <n v="0.06"/>
    <n v="156.006"/>
    <n v="1"/>
    <x v="6"/>
  </r>
  <r>
    <n v="380"/>
    <x v="165"/>
    <n v="59"/>
    <s v="Garanhuns"/>
    <x v="1"/>
    <n v="25"/>
    <n v="92"/>
    <n v="2300"/>
    <d v="1899-12-30T00:57:36"/>
    <n v="2208"/>
    <d v="2020-07-27T00:00:00"/>
    <d v="2020-07-27T00:00:00"/>
    <n v="380"/>
    <n v="2"/>
    <x v="2"/>
    <n v="0.06"/>
    <n v="132.47999999999999"/>
    <n v="2"/>
    <x v="6"/>
  </r>
  <r>
    <n v="381"/>
    <x v="165"/>
    <n v="82"/>
    <s v="Rio de Janeiro"/>
    <x v="6"/>
    <n v="43"/>
    <n v="119"/>
    <n v="5117"/>
    <d v="1899-12-30T00:00:00"/>
    <n v="5117"/>
    <d v="2020-08-03T00:00:00"/>
    <d v="2020-08-03T00:00:00"/>
    <n v="381"/>
    <n v="2"/>
    <x v="8"/>
    <n v="0.06"/>
    <n v="307.02"/>
    <n v="3"/>
    <x v="6"/>
  </r>
  <r>
    <n v="382"/>
    <x v="166"/>
    <n v="46"/>
    <s v="Curitiba"/>
    <x v="2"/>
    <n v="47"/>
    <n v="107"/>
    <n v="5029"/>
    <d v="1899-12-30T02:24:00"/>
    <n v="4526.1000000000004"/>
    <d v="2020-08-07T00:00:00"/>
    <d v="2020-08-07T00:00:00"/>
    <n v="382"/>
    <n v="6"/>
    <x v="6"/>
    <n v="0.1"/>
    <n v="452.61000000000007"/>
    <n v="4"/>
    <x v="6"/>
  </r>
  <r>
    <n v="383"/>
    <x v="167"/>
    <n v="98"/>
    <s v="Recife"/>
    <x v="3"/>
    <n v="11"/>
    <n v="95"/>
    <n v="1045"/>
    <d v="1899-12-30T01:55:12"/>
    <n v="961.4"/>
    <d v="2020-08-01T00:00:00"/>
    <d v="2020-08-01T00:00:00"/>
    <n v="383"/>
    <n v="2"/>
    <x v="1"/>
    <n v="7.0000000000000007E-2"/>
    <n v="67.298000000000002"/>
    <n v="5"/>
    <x v="6"/>
  </r>
  <r>
    <n v="384"/>
    <x v="168"/>
    <n v="12"/>
    <s v="São José do Rio Preto"/>
    <x v="1"/>
    <n v="41"/>
    <n v="105"/>
    <n v="4305"/>
    <d v="1899-12-30T00:00:00"/>
    <n v="4305"/>
    <d v="2020-08-20T00:00:00"/>
    <d v="2020-08-20T00:00:00"/>
    <n v="384"/>
    <n v="3"/>
    <x v="2"/>
    <n v="0.08"/>
    <n v="344.40000000000003"/>
    <n v="6"/>
    <x v="6"/>
  </r>
  <r>
    <n v="385"/>
    <x v="169"/>
    <n v="80"/>
    <s v="São Paulo"/>
    <x v="0"/>
    <n v="49"/>
    <n v="109"/>
    <n v="5341"/>
    <d v="1899-12-30T03:36:00"/>
    <n v="4539.8500000000004"/>
    <d v="2020-07-30T00:00:00"/>
    <d v="2020-07-30T00:00:00"/>
    <n v="385"/>
    <n v="2"/>
    <x v="8"/>
    <n v="0.06"/>
    <n v="272.39100000000002"/>
    <n v="7"/>
    <x v="6"/>
  </r>
  <r>
    <n v="386"/>
    <x v="170"/>
    <n v="49"/>
    <s v="São Paulo"/>
    <x v="6"/>
    <n v="18"/>
    <n v="102"/>
    <n v="1836"/>
    <d v="1899-12-30T03:36:00"/>
    <n v="1560.6"/>
    <d v="2020-08-08T00:00:00"/>
    <d v="2020-08-08T00:00:00"/>
    <n v="386"/>
    <n v="4"/>
    <x v="3"/>
    <n v="0.09"/>
    <n v="140.45399999999998"/>
    <n v="1"/>
    <x v="6"/>
  </r>
  <r>
    <n v="387"/>
    <x v="171"/>
    <n v="89"/>
    <s v="Goiânia"/>
    <x v="9"/>
    <n v="43"/>
    <n v="91"/>
    <n v="3913"/>
    <d v="1899-12-30T03:36:00"/>
    <n v="3326.05"/>
    <d v="2020-08-09T00:00:00"/>
    <d v="2020-08-09T00:00:00"/>
    <n v="387"/>
    <n v="4"/>
    <x v="5"/>
    <n v="0.09"/>
    <n v="299.34449999999998"/>
    <n v="2"/>
    <x v="6"/>
  </r>
  <r>
    <n v="388"/>
    <x v="171"/>
    <n v="79"/>
    <s v="Salvador"/>
    <x v="1"/>
    <n v="40"/>
    <n v="104"/>
    <n v="4160"/>
    <d v="1899-12-30T02:38:24"/>
    <n v="3702.4"/>
    <d v="2020-08-20T00:00:00"/>
    <d v="2020-08-20T00:00:00"/>
    <n v="388"/>
    <n v="6"/>
    <x v="1"/>
    <n v="0.05"/>
    <n v="185.12"/>
    <n v="3"/>
    <x v="6"/>
  </r>
  <r>
    <n v="389"/>
    <x v="171"/>
    <n v="58"/>
    <s v="Natal"/>
    <x v="5"/>
    <n v="31"/>
    <n v="90"/>
    <n v="2790"/>
    <d v="1899-12-30T00:00:00"/>
    <n v="2790"/>
    <d v="2020-08-07T00:00:00"/>
    <d v="2020-08-07T00:00:00"/>
    <n v="389"/>
    <n v="5"/>
    <x v="8"/>
    <n v="0.08"/>
    <n v="223.20000000000002"/>
    <n v="4"/>
    <x v="6"/>
  </r>
  <r>
    <n v="390"/>
    <x v="172"/>
    <n v="22"/>
    <s v="Núcleo Bandeirante"/>
    <x v="1"/>
    <n v="41"/>
    <n v="112"/>
    <n v="4592"/>
    <d v="1899-12-30T00:43:12"/>
    <n v="4454.24"/>
    <d v="2020-08-09T00:00:00"/>
    <d v="2020-08-09T00:00:00"/>
    <n v="390"/>
    <n v="3"/>
    <x v="8"/>
    <n v="7.0000000000000007E-2"/>
    <n v="311.79680000000002"/>
    <n v="5"/>
    <x v="7"/>
  </r>
  <r>
    <n v="391"/>
    <x v="172"/>
    <n v="15"/>
    <s v="Vila Velha"/>
    <x v="1"/>
    <n v="48"/>
    <n v="102"/>
    <n v="4896"/>
    <d v="1899-12-30T00:43:12"/>
    <n v="4749.12"/>
    <d v="2020-08-14T00:00:00"/>
    <d v="2020-08-14T00:00:00"/>
    <n v="391"/>
    <n v="6"/>
    <x v="8"/>
    <n v="0.06"/>
    <n v="284.94720000000001"/>
    <n v="6"/>
    <x v="7"/>
  </r>
  <r>
    <n v="392"/>
    <x v="172"/>
    <n v="6"/>
    <s v="Jaú"/>
    <x v="3"/>
    <n v="15"/>
    <n v="96"/>
    <n v="1440"/>
    <d v="1899-12-30T00:14:24"/>
    <n v="1425.6"/>
    <d v="2020-08-06T00:00:00"/>
    <d v="2020-08-06T00:00:00"/>
    <n v="392"/>
    <n v="3"/>
    <x v="3"/>
    <n v="0.09"/>
    <n v="128.30399999999997"/>
    <n v="7"/>
    <x v="7"/>
  </r>
  <r>
    <n v="393"/>
    <x v="172"/>
    <n v="77"/>
    <s v="Sorocaba"/>
    <x v="4"/>
    <n v="36"/>
    <n v="119"/>
    <n v="4284"/>
    <d v="1899-12-30T01:26:24"/>
    <n v="4026.96"/>
    <d v="2020-08-01T00:00:00"/>
    <d v="2020-08-01T00:00:00"/>
    <n v="393"/>
    <n v="2"/>
    <x v="5"/>
    <n v="7.0000000000000007E-2"/>
    <n v="281.88720000000001"/>
    <n v="1"/>
    <x v="7"/>
  </r>
  <r>
    <n v="394"/>
    <x v="173"/>
    <n v="17"/>
    <s v="Rio de Janeiro"/>
    <x v="5"/>
    <n v="22"/>
    <n v="95"/>
    <n v="2090"/>
    <d v="1899-12-30T02:24:00"/>
    <n v="1881"/>
    <d v="2020-08-20T00:00:00"/>
    <d v="2020-08-20T00:00:00"/>
    <n v="394"/>
    <n v="4"/>
    <x v="4"/>
    <n v="0.09"/>
    <n v="169.29"/>
    <n v="2"/>
    <x v="7"/>
  </r>
  <r>
    <n v="395"/>
    <x v="173"/>
    <n v="18"/>
    <s v="Bagé"/>
    <x v="0"/>
    <n v="13"/>
    <n v="107"/>
    <n v="1391"/>
    <d v="1899-12-30T00:28:48"/>
    <n v="1363.18"/>
    <d v="2020-08-21T00:00:00"/>
    <d v="2020-08-21T00:00:00"/>
    <n v="395"/>
    <n v="4"/>
    <x v="2"/>
    <n v="0.08"/>
    <n v="109.0544"/>
    <n v="3"/>
    <x v="7"/>
  </r>
  <r>
    <n v="396"/>
    <x v="173"/>
    <n v="28"/>
    <s v="João Pessoa"/>
    <x v="1"/>
    <n v="40"/>
    <n v="90"/>
    <n v="3600"/>
    <d v="1899-12-30T00:00:00"/>
    <n v="3600"/>
    <d v="2020-08-10T00:00:00"/>
    <d v="2020-08-10T00:00:00"/>
    <n v="396"/>
    <n v="4"/>
    <x v="2"/>
    <n v="0.08"/>
    <n v="288"/>
    <n v="4"/>
    <x v="7"/>
  </r>
  <r>
    <n v="397"/>
    <x v="174"/>
    <n v="81"/>
    <s v="Duque de Caxias"/>
    <x v="5"/>
    <n v="12"/>
    <n v="104"/>
    <n v="1248"/>
    <d v="1899-12-30T01:12:00"/>
    <n v="1185.5999999999999"/>
    <d v="2020-08-06T00:00:00"/>
    <d v="2020-08-06T00:00:00"/>
    <n v="397"/>
    <n v="1"/>
    <x v="0"/>
    <n v="0.09"/>
    <n v="106.70399999999999"/>
    <n v="5"/>
    <x v="7"/>
  </r>
  <r>
    <n v="398"/>
    <x v="175"/>
    <n v="35"/>
    <s v="São Paulo"/>
    <x v="1"/>
    <n v="18"/>
    <n v="109"/>
    <n v="1962"/>
    <d v="1899-12-30T03:07:12"/>
    <n v="1706.94"/>
    <d v="2020-08-29T00:00:00"/>
    <d v="2020-08-29T00:00:00"/>
    <n v="398"/>
    <n v="7"/>
    <x v="7"/>
    <n v="0.09"/>
    <n v="153.62459999999999"/>
    <n v="6"/>
    <x v="7"/>
  </r>
  <r>
    <n v="399"/>
    <x v="175"/>
    <n v="49"/>
    <s v="São Paulo"/>
    <x v="9"/>
    <n v="25"/>
    <n v="104"/>
    <n v="2600"/>
    <d v="1899-12-30T00:57:36"/>
    <n v="2496"/>
    <d v="2020-09-03T00:00:00"/>
    <d v="2020-09-03T00:00:00"/>
    <n v="399"/>
    <n v="2"/>
    <x v="0"/>
    <n v="0.09"/>
    <n v="224.64"/>
    <n v="7"/>
    <x v="7"/>
  </r>
  <r>
    <n v="400"/>
    <x v="175"/>
    <n v="43"/>
    <s v="Dourados"/>
    <x v="4"/>
    <n v="10"/>
    <n v="106"/>
    <n v="1060"/>
    <d v="1899-12-30T00:57:36"/>
    <n v="1017.6"/>
    <d v="2020-08-14T00:00:00"/>
    <d v="2020-08-14T00:00:00"/>
    <n v="400"/>
    <n v="6"/>
    <x v="3"/>
    <n v="0.08"/>
    <n v="81.408000000000001"/>
    <n v="1"/>
    <x v="7"/>
  </r>
  <r>
    <n v="401"/>
    <x v="175"/>
    <n v="27"/>
    <s v="Praia Grande"/>
    <x v="3"/>
    <n v="47"/>
    <n v="119"/>
    <n v="5593"/>
    <d v="1899-12-30T02:24:00"/>
    <n v="5033.7"/>
    <d v="2020-08-15T00:00:00"/>
    <d v="2020-08-15T00:00:00"/>
    <n v="401"/>
    <n v="5"/>
    <x v="8"/>
    <n v="0.08"/>
    <n v="402.69599999999997"/>
    <n v="2"/>
    <x v="7"/>
  </r>
  <r>
    <n v="402"/>
    <x v="175"/>
    <n v="52"/>
    <s v="São Luís"/>
    <x v="6"/>
    <n v="21"/>
    <n v="92"/>
    <n v="1932"/>
    <d v="1899-12-30T00:28:48"/>
    <n v="1893.36"/>
    <d v="2020-08-05T00:00:00"/>
    <d v="2020-08-05T00:00:00"/>
    <n v="402"/>
    <n v="7"/>
    <x v="8"/>
    <n v="0.09"/>
    <n v="170.40239999999997"/>
    <n v="3"/>
    <x v="7"/>
  </r>
  <r>
    <n v="403"/>
    <x v="175"/>
    <n v="78"/>
    <s v="Governador Valadares"/>
    <x v="6"/>
    <n v="18"/>
    <n v="104"/>
    <n v="1872"/>
    <d v="1899-12-30T02:38:24"/>
    <n v="1666.08"/>
    <d v="2020-08-24T00:00:00"/>
    <d v="2020-08-24T00:00:00"/>
    <n v="403"/>
    <n v="5"/>
    <x v="3"/>
    <n v="7.0000000000000007E-2"/>
    <n v="116.62560000000001"/>
    <n v="4"/>
    <x v="7"/>
  </r>
  <r>
    <n v="404"/>
    <x v="176"/>
    <n v="29"/>
    <s v="Teófilo Otoni"/>
    <x v="0"/>
    <n v="25"/>
    <n v="118"/>
    <n v="2950"/>
    <d v="1899-12-30T00:28:48"/>
    <n v="2891"/>
    <d v="2020-09-02T00:00:00"/>
    <d v="2020-09-02T00:00:00"/>
    <n v="404"/>
    <n v="5"/>
    <x v="7"/>
    <n v="0.08"/>
    <n v="231.28"/>
    <n v="5"/>
    <x v="7"/>
  </r>
  <r>
    <n v="405"/>
    <x v="176"/>
    <n v="88"/>
    <s v="São Paulo"/>
    <x v="1"/>
    <n v="27"/>
    <n v="120"/>
    <n v="3240"/>
    <d v="1899-12-30T01:40:48"/>
    <n v="3013.2"/>
    <d v="2020-08-29T00:00:00"/>
    <d v="2020-08-29T00:00:00"/>
    <n v="405"/>
    <n v="3"/>
    <x v="2"/>
    <n v="7.0000000000000007E-2"/>
    <n v="210.92400000000001"/>
    <n v="6"/>
    <x v="7"/>
  </r>
  <r>
    <n v="406"/>
    <x v="176"/>
    <n v="69"/>
    <s v="Rio de Janeiro"/>
    <x v="5"/>
    <n v="49"/>
    <n v="93"/>
    <n v="4557"/>
    <d v="1899-12-30T03:07:12"/>
    <n v="3964.59"/>
    <d v="2020-08-25T00:00:00"/>
    <d v="2020-08-25T00:00:00"/>
    <n v="406"/>
    <n v="2"/>
    <x v="9"/>
    <n v="7.0000000000000007E-2"/>
    <n v="277.52130000000005"/>
    <n v="7"/>
    <x v="7"/>
  </r>
  <r>
    <n v="407"/>
    <x v="176"/>
    <n v="60"/>
    <s v="Serra"/>
    <x v="3"/>
    <n v="15"/>
    <n v="109"/>
    <n v="1635"/>
    <d v="1899-12-30T02:24:00"/>
    <n v="1471.5"/>
    <d v="2020-08-08T00:00:00"/>
    <d v="2020-08-08T00:00:00"/>
    <n v="407"/>
    <n v="5"/>
    <x v="2"/>
    <n v="0.09"/>
    <n v="132.435"/>
    <n v="1"/>
    <x v="7"/>
  </r>
  <r>
    <n v="408"/>
    <x v="176"/>
    <n v="62"/>
    <s v="São Paulo"/>
    <x v="0"/>
    <n v="30"/>
    <n v="109"/>
    <n v="3270"/>
    <d v="1899-12-30T03:07:12"/>
    <n v="2844.9"/>
    <d v="2020-08-07T00:00:00"/>
    <d v="2020-08-07T00:00:00"/>
    <n v="408"/>
    <n v="1"/>
    <x v="8"/>
    <n v="0.09"/>
    <n v="256.041"/>
    <n v="2"/>
    <x v="7"/>
  </r>
  <r>
    <n v="409"/>
    <x v="177"/>
    <n v="41"/>
    <s v="São João Del Rei"/>
    <x v="1"/>
    <n v="21"/>
    <n v="101"/>
    <n v="2121"/>
    <d v="1899-12-30T02:24:00"/>
    <n v="1908.9"/>
    <d v="2020-08-16T00:00:00"/>
    <d v="2020-08-16T00:00:00"/>
    <n v="409"/>
    <n v="5"/>
    <x v="8"/>
    <n v="0.09"/>
    <n v="171.80099999999999"/>
    <n v="3"/>
    <x v="7"/>
  </r>
  <r>
    <n v="410"/>
    <x v="178"/>
    <n v="1"/>
    <s v="Santos"/>
    <x v="6"/>
    <n v="15"/>
    <n v="107"/>
    <n v="1605"/>
    <d v="1899-12-30T01:12:00"/>
    <n v="1524.75"/>
    <d v="2020-08-16T00:00:00"/>
    <d v="2020-08-16T00:00:00"/>
    <n v="410"/>
    <n v="5"/>
    <x v="1"/>
    <n v="0.09"/>
    <n v="137.22749999999999"/>
    <n v="4"/>
    <x v="7"/>
  </r>
  <r>
    <n v="411"/>
    <x v="178"/>
    <n v="8"/>
    <s v="São Paulo"/>
    <x v="6"/>
    <n v="21"/>
    <n v="92"/>
    <n v="1932"/>
    <d v="1899-12-30T01:26:24"/>
    <n v="1816.08"/>
    <d v="2020-08-21T00:00:00"/>
    <d v="2020-08-21T00:00:00"/>
    <n v="411"/>
    <n v="2"/>
    <x v="2"/>
    <n v="0.1"/>
    <n v="181.608"/>
    <n v="5"/>
    <x v="7"/>
  </r>
  <r>
    <n v="412"/>
    <x v="178"/>
    <n v="52"/>
    <s v="São Luís"/>
    <x v="6"/>
    <n v="39"/>
    <n v="105"/>
    <n v="4095"/>
    <d v="1899-12-30T01:55:12"/>
    <n v="3767.4"/>
    <d v="2020-08-22T00:00:00"/>
    <d v="2020-08-22T00:00:00"/>
    <n v="412"/>
    <n v="5"/>
    <x v="3"/>
    <n v="0.09"/>
    <n v="339.06599999999997"/>
    <n v="6"/>
    <x v="7"/>
  </r>
  <r>
    <n v="413"/>
    <x v="178"/>
    <n v="39"/>
    <s v="São Paulo"/>
    <x v="6"/>
    <n v="45"/>
    <n v="113"/>
    <n v="5085"/>
    <d v="1899-12-30T00:00:00"/>
    <n v="5085"/>
    <d v="2020-08-10T00:00:00"/>
    <d v="2020-08-10T00:00:00"/>
    <n v="413"/>
    <n v="7"/>
    <x v="4"/>
    <n v="7.0000000000000007E-2"/>
    <n v="355.95000000000005"/>
    <n v="7"/>
    <x v="7"/>
  </r>
  <r>
    <n v="414"/>
    <x v="179"/>
    <n v="87"/>
    <s v="Fortaleza"/>
    <x v="6"/>
    <n v="15"/>
    <n v="91"/>
    <n v="1365"/>
    <d v="1899-12-30T01:26:24"/>
    <n v="1283.0999999999999"/>
    <d v="2020-08-23T00:00:00"/>
    <d v="2020-08-23T00:00:00"/>
    <n v="414"/>
    <n v="3"/>
    <x v="6"/>
    <n v="0.05"/>
    <n v="64.155000000000001"/>
    <n v="1"/>
    <x v="7"/>
  </r>
  <r>
    <n v="415"/>
    <x v="179"/>
    <n v="24"/>
    <s v="Viamão"/>
    <x v="3"/>
    <n v="15"/>
    <n v="110"/>
    <n v="1650"/>
    <d v="1899-12-30T00:14:24"/>
    <n v="1633.5"/>
    <d v="2020-09-05T00:00:00"/>
    <d v="2020-09-05T00:00:00"/>
    <n v="415"/>
    <n v="2"/>
    <x v="5"/>
    <n v="0.09"/>
    <n v="147.01499999999999"/>
    <n v="2"/>
    <x v="7"/>
  </r>
  <r>
    <n v="416"/>
    <x v="180"/>
    <n v="13"/>
    <s v="Contagem"/>
    <x v="5"/>
    <n v="38"/>
    <n v="111"/>
    <n v="4218"/>
    <d v="1899-12-30T01:55:12"/>
    <n v="3880.56"/>
    <d v="2020-09-08T00:00:00"/>
    <d v="2020-09-08T00:00:00"/>
    <n v="416"/>
    <n v="4"/>
    <x v="7"/>
    <n v="0.06"/>
    <n v="232.83359999999999"/>
    <n v="3"/>
    <x v="7"/>
  </r>
  <r>
    <n v="417"/>
    <x v="181"/>
    <n v="25"/>
    <s v="Belém"/>
    <x v="2"/>
    <n v="13"/>
    <n v="115"/>
    <n v="1495"/>
    <d v="1899-12-30T03:21:36"/>
    <n v="1285.7"/>
    <d v="2020-09-02T00:00:00"/>
    <d v="2020-09-02T00:00:00"/>
    <n v="417"/>
    <n v="7"/>
    <x v="2"/>
    <n v="0.1"/>
    <n v="128.57000000000002"/>
    <n v="4"/>
    <x v="7"/>
  </r>
  <r>
    <n v="418"/>
    <x v="181"/>
    <n v="88"/>
    <s v="São Paulo"/>
    <x v="1"/>
    <n v="39"/>
    <n v="112"/>
    <n v="4368"/>
    <d v="1899-12-30T00:57:36"/>
    <n v="4193.28"/>
    <d v="2020-08-20T00:00:00"/>
    <d v="2020-08-20T00:00:00"/>
    <n v="418"/>
    <n v="5"/>
    <x v="0"/>
    <n v="0.09"/>
    <n v="377.39519999999999"/>
    <n v="5"/>
    <x v="7"/>
  </r>
  <r>
    <n v="419"/>
    <x v="181"/>
    <n v="78"/>
    <s v="Governador Valadares"/>
    <x v="7"/>
    <n v="19"/>
    <n v="103"/>
    <n v="1957"/>
    <d v="1899-12-30T00:14:24"/>
    <n v="1937.43"/>
    <d v="2020-09-06T00:00:00"/>
    <d v="2020-09-06T00:00:00"/>
    <n v="419"/>
    <n v="5"/>
    <x v="6"/>
    <n v="0.06"/>
    <n v="116.2458"/>
    <n v="6"/>
    <x v="7"/>
  </r>
  <r>
    <n v="420"/>
    <x v="181"/>
    <n v="32"/>
    <s v="Vila Velha"/>
    <x v="1"/>
    <n v="46"/>
    <n v="95"/>
    <n v="4370"/>
    <d v="1899-12-30T01:12:00"/>
    <n v="4151.5"/>
    <d v="2020-08-27T00:00:00"/>
    <d v="2020-08-27T00:00:00"/>
    <n v="420"/>
    <n v="7"/>
    <x v="9"/>
    <n v="0.05"/>
    <n v="207.57500000000002"/>
    <n v="7"/>
    <x v="7"/>
  </r>
  <r>
    <n v="421"/>
    <x v="182"/>
    <n v="39"/>
    <s v="São Paulo"/>
    <x v="1"/>
    <n v="47"/>
    <n v="110"/>
    <n v="5170"/>
    <d v="1899-12-30T02:52:48"/>
    <n v="4549.6000000000004"/>
    <d v="2020-08-24T00:00:00"/>
    <d v="2020-08-24T00:00:00"/>
    <n v="421"/>
    <n v="7"/>
    <x v="6"/>
    <n v="0.1"/>
    <n v="454.96000000000004"/>
    <n v="1"/>
    <x v="7"/>
  </r>
  <r>
    <n v="422"/>
    <x v="182"/>
    <n v="77"/>
    <s v="Sorocaba"/>
    <x v="2"/>
    <n v="21"/>
    <n v="103"/>
    <n v="2163"/>
    <d v="1899-12-30T02:52:48"/>
    <n v="1903.44"/>
    <d v="2020-09-01T00:00:00"/>
    <d v="2020-09-01T00:00:00"/>
    <n v="422"/>
    <n v="4"/>
    <x v="6"/>
    <n v="0.1"/>
    <n v="190.34400000000002"/>
    <n v="2"/>
    <x v="7"/>
  </r>
  <r>
    <n v="423"/>
    <x v="183"/>
    <n v="94"/>
    <s v="Goiânia"/>
    <x v="2"/>
    <n v="22"/>
    <n v="113"/>
    <n v="2486"/>
    <d v="1899-12-30T03:07:12"/>
    <n v="2162.8200000000002"/>
    <d v="2020-09-05T00:00:00"/>
    <d v="2020-09-05T00:00:00"/>
    <n v="423"/>
    <n v="1"/>
    <x v="7"/>
    <n v="0.05"/>
    <n v="108.14100000000002"/>
    <n v="3"/>
    <x v="7"/>
  </r>
  <r>
    <n v="424"/>
    <x v="183"/>
    <n v="93"/>
    <s v="Salvador"/>
    <x v="5"/>
    <n v="36"/>
    <n v="109"/>
    <n v="3924"/>
    <d v="1899-12-30T00:43:12"/>
    <n v="3806.28"/>
    <d v="2020-09-11T00:00:00"/>
    <d v="2020-09-11T00:00:00"/>
    <n v="424"/>
    <n v="3"/>
    <x v="8"/>
    <n v="0.06"/>
    <n v="228.3768"/>
    <n v="4"/>
    <x v="7"/>
  </r>
  <r>
    <n v="425"/>
    <x v="184"/>
    <n v="32"/>
    <s v="Vila Velha"/>
    <x v="3"/>
    <n v="17"/>
    <n v="116"/>
    <n v="1972"/>
    <d v="1899-12-30T01:12:00"/>
    <n v="1873.4"/>
    <d v="2020-08-17T00:00:00"/>
    <d v="2020-08-17T00:00:00"/>
    <n v="425"/>
    <n v="3"/>
    <x v="7"/>
    <n v="0.05"/>
    <n v="93.670000000000016"/>
    <n v="5"/>
    <x v="7"/>
  </r>
  <r>
    <n v="426"/>
    <x v="184"/>
    <n v="14"/>
    <s v="Eunápolis"/>
    <x v="2"/>
    <n v="46"/>
    <n v="100"/>
    <n v="4600"/>
    <d v="1899-12-30T00:57:36"/>
    <n v="4416"/>
    <d v="2020-09-09T00:00:00"/>
    <d v="2020-09-09T00:00:00"/>
    <n v="426"/>
    <n v="4"/>
    <x v="2"/>
    <n v="0.09"/>
    <n v="397.44"/>
    <n v="6"/>
    <x v="7"/>
  </r>
  <r>
    <n v="427"/>
    <x v="185"/>
    <n v="79"/>
    <s v="Salvador"/>
    <x v="2"/>
    <n v="20"/>
    <n v="103"/>
    <n v="2060"/>
    <d v="1899-12-30T01:40:48"/>
    <n v="1915.8"/>
    <d v="2020-08-23T00:00:00"/>
    <d v="2020-08-23T00:00:00"/>
    <n v="427"/>
    <n v="2"/>
    <x v="5"/>
    <n v="0.1"/>
    <n v="191.58"/>
    <n v="7"/>
    <x v="7"/>
  </r>
  <r>
    <n v="428"/>
    <x v="185"/>
    <n v="31"/>
    <s v="Juiz de Fora"/>
    <x v="9"/>
    <n v="10"/>
    <n v="94"/>
    <n v="940"/>
    <d v="1899-12-30T00:57:36"/>
    <n v="902.4"/>
    <d v="2020-08-28T00:00:00"/>
    <d v="2020-08-28T00:00:00"/>
    <n v="428"/>
    <n v="5"/>
    <x v="9"/>
    <n v="0.05"/>
    <n v="45.120000000000005"/>
    <n v="1"/>
    <x v="7"/>
  </r>
  <r>
    <n v="429"/>
    <x v="185"/>
    <n v="76"/>
    <s v="Coronel Fabriciano"/>
    <x v="2"/>
    <n v="37"/>
    <n v="93"/>
    <n v="3441"/>
    <d v="1899-12-30T01:26:24"/>
    <n v="3234.54"/>
    <d v="2020-09-14T00:00:00"/>
    <d v="2020-09-14T00:00:00"/>
    <n v="429"/>
    <n v="1"/>
    <x v="3"/>
    <n v="0.1"/>
    <n v="323.45400000000001"/>
    <n v="2"/>
    <x v="7"/>
  </r>
  <r>
    <n v="430"/>
    <x v="186"/>
    <n v="32"/>
    <s v="Vila Velha"/>
    <x v="9"/>
    <n v="25"/>
    <n v="111"/>
    <n v="2775"/>
    <d v="1899-12-30T01:40:48"/>
    <n v="2580.75"/>
    <d v="2020-09-16T00:00:00"/>
    <d v="2020-09-16T00:00:00"/>
    <n v="430"/>
    <n v="4"/>
    <x v="7"/>
    <n v="0.05"/>
    <n v="129.03749999999999"/>
    <n v="3"/>
    <x v="7"/>
  </r>
  <r>
    <n v="431"/>
    <x v="186"/>
    <n v="38"/>
    <s v="Belo Horizonte"/>
    <x v="5"/>
    <n v="25"/>
    <n v="93"/>
    <n v="2325"/>
    <d v="1899-12-30T00:57:36"/>
    <n v="2232"/>
    <d v="2020-09-03T00:00:00"/>
    <d v="2020-09-03T00:00:00"/>
    <n v="431"/>
    <n v="7"/>
    <x v="8"/>
    <n v="0.05"/>
    <n v="111.60000000000001"/>
    <n v="4"/>
    <x v="7"/>
  </r>
  <r>
    <n v="432"/>
    <x v="187"/>
    <n v="72"/>
    <s v="São Paulo"/>
    <x v="6"/>
    <n v="28"/>
    <n v="111"/>
    <n v="3108"/>
    <d v="1899-12-30T00:57:36"/>
    <n v="2983.68"/>
    <d v="2020-09-13T00:00:00"/>
    <d v="2020-09-13T00:00:00"/>
    <n v="432"/>
    <n v="2"/>
    <x v="7"/>
    <n v="0.08"/>
    <n v="238.6944"/>
    <n v="5"/>
    <x v="7"/>
  </r>
  <r>
    <n v="433"/>
    <x v="188"/>
    <n v="38"/>
    <s v="Belo Horizonte"/>
    <x v="3"/>
    <n v="32"/>
    <n v="90"/>
    <n v="2880"/>
    <d v="1899-12-30T00:43:12"/>
    <n v="2793.6"/>
    <d v="2020-09-13T00:00:00"/>
    <d v="2020-09-13T00:00:00"/>
    <n v="433"/>
    <n v="7"/>
    <x v="7"/>
    <n v="0.09"/>
    <n v="251.42399999999998"/>
    <n v="6"/>
    <x v="7"/>
  </r>
  <r>
    <n v="434"/>
    <x v="189"/>
    <n v="84"/>
    <s v="Manaus"/>
    <x v="3"/>
    <n v="15"/>
    <n v="112"/>
    <n v="1680"/>
    <d v="1899-12-30T02:52:48"/>
    <n v="1478.4"/>
    <d v="2020-08-21T00:00:00"/>
    <d v="2020-08-21T00:00:00"/>
    <n v="434"/>
    <n v="2"/>
    <x v="4"/>
    <n v="0.05"/>
    <n v="73.92"/>
    <n v="7"/>
    <x v="7"/>
  </r>
  <r>
    <n v="435"/>
    <x v="189"/>
    <n v="95"/>
    <s v="São Paulo"/>
    <x v="2"/>
    <n v="40"/>
    <n v="120"/>
    <n v="4800"/>
    <d v="1899-12-30T03:07:12"/>
    <n v="4176"/>
    <d v="2020-08-27T00:00:00"/>
    <d v="2020-08-27T00:00:00"/>
    <n v="435"/>
    <n v="3"/>
    <x v="6"/>
    <n v="0.06"/>
    <n v="250.56"/>
    <n v="1"/>
    <x v="7"/>
  </r>
  <r>
    <n v="436"/>
    <x v="189"/>
    <n v="71"/>
    <s v="Paranavaí"/>
    <x v="6"/>
    <n v="28"/>
    <n v="91"/>
    <n v="2548"/>
    <d v="1899-12-30T00:57:36"/>
    <n v="2446.08"/>
    <d v="2020-09-12T00:00:00"/>
    <d v="2020-09-12T00:00:00"/>
    <n v="436"/>
    <n v="1"/>
    <x v="8"/>
    <n v="7.0000000000000007E-2"/>
    <n v="171.22560000000001"/>
    <n v="2"/>
    <x v="7"/>
  </r>
  <r>
    <n v="437"/>
    <x v="189"/>
    <n v="31"/>
    <s v="Juiz de Fora"/>
    <x v="4"/>
    <n v="13"/>
    <n v="114"/>
    <n v="1482"/>
    <d v="1899-12-30T03:21:36"/>
    <n v="1274.52"/>
    <d v="2020-09-02T00:00:00"/>
    <d v="2020-09-02T00:00:00"/>
    <n v="437"/>
    <n v="4"/>
    <x v="2"/>
    <n v="7.0000000000000007E-2"/>
    <n v="89.216400000000007"/>
    <n v="3"/>
    <x v="7"/>
  </r>
  <r>
    <n v="438"/>
    <x v="190"/>
    <n v="44"/>
    <s v="Atibaia"/>
    <x v="6"/>
    <n v="28"/>
    <n v="104"/>
    <n v="2912"/>
    <d v="1899-12-30T02:52:48"/>
    <n v="2562.56"/>
    <d v="2020-09-12T00:00:00"/>
    <d v="2020-09-12T00:00:00"/>
    <n v="438"/>
    <n v="2"/>
    <x v="1"/>
    <n v="0.08"/>
    <n v="205.00479999999999"/>
    <n v="4"/>
    <x v="7"/>
  </r>
  <r>
    <n v="439"/>
    <x v="190"/>
    <n v="54"/>
    <s v="São Gonçalo"/>
    <x v="2"/>
    <n v="16"/>
    <n v="104"/>
    <n v="1664"/>
    <d v="1899-12-30T03:36:00"/>
    <n v="1414.4"/>
    <d v="2020-09-12T00:00:00"/>
    <d v="2020-09-12T00:00:00"/>
    <n v="439"/>
    <n v="4"/>
    <x v="1"/>
    <n v="0.1"/>
    <n v="141.44000000000003"/>
    <n v="5"/>
    <x v="7"/>
  </r>
  <r>
    <n v="440"/>
    <x v="191"/>
    <n v="24"/>
    <s v="Viamão"/>
    <x v="5"/>
    <n v="35"/>
    <n v="90"/>
    <n v="3150"/>
    <d v="1899-12-30T00:14:24"/>
    <n v="3118.5"/>
    <d v="2020-09-02T00:00:00"/>
    <d v="2020-09-02T00:00:00"/>
    <n v="440"/>
    <n v="2"/>
    <x v="8"/>
    <n v="0.05"/>
    <n v="155.92500000000001"/>
    <n v="6"/>
    <x v="7"/>
  </r>
  <r>
    <n v="441"/>
    <x v="191"/>
    <n v="71"/>
    <s v="Paranavaí"/>
    <x v="1"/>
    <n v="21"/>
    <n v="92"/>
    <n v="1932"/>
    <d v="1899-12-30T02:52:48"/>
    <n v="1700.16"/>
    <d v="2020-09-05T00:00:00"/>
    <d v="2020-09-05T00:00:00"/>
    <n v="441"/>
    <n v="3"/>
    <x v="4"/>
    <n v="0.08"/>
    <n v="136.0128"/>
    <n v="7"/>
    <x v="7"/>
  </r>
  <r>
    <n v="442"/>
    <x v="191"/>
    <n v="30"/>
    <s v="Vitória da Conquista"/>
    <x v="3"/>
    <n v="29"/>
    <n v="95"/>
    <n v="2755"/>
    <d v="1899-12-30T01:26:24"/>
    <n v="2589.6999999999998"/>
    <d v="2020-08-30T00:00:00"/>
    <d v="2020-08-30T00:00:00"/>
    <n v="442"/>
    <n v="2"/>
    <x v="9"/>
    <n v="0.06"/>
    <n v="155.38199999999998"/>
    <n v="1"/>
    <x v="7"/>
  </r>
  <r>
    <n v="443"/>
    <x v="192"/>
    <n v="62"/>
    <s v="São Paulo"/>
    <x v="3"/>
    <n v="32"/>
    <n v="113"/>
    <n v="3616"/>
    <d v="1899-12-30T02:24:00"/>
    <n v="3254.4"/>
    <d v="2020-09-08T00:00:00"/>
    <d v="2020-09-08T00:00:00"/>
    <n v="443"/>
    <n v="4"/>
    <x v="1"/>
    <n v="0.1"/>
    <n v="325.44000000000005"/>
    <n v="2"/>
    <x v="7"/>
  </r>
  <r>
    <n v="444"/>
    <x v="193"/>
    <n v="100"/>
    <s v="São Paulo"/>
    <x v="3"/>
    <n v="14"/>
    <n v="102"/>
    <n v="1428"/>
    <d v="1899-12-30T01:55:12"/>
    <n v="1313.76"/>
    <d v="2020-09-04T00:00:00"/>
    <d v="2020-09-04T00:00:00"/>
    <n v="444"/>
    <n v="1"/>
    <x v="6"/>
    <n v="0.1"/>
    <n v="131.376"/>
    <n v="3"/>
    <x v="7"/>
  </r>
  <r>
    <n v="445"/>
    <x v="193"/>
    <n v="84"/>
    <s v="Manaus"/>
    <x v="1"/>
    <n v="15"/>
    <n v="111"/>
    <n v="1665"/>
    <d v="1899-12-30T03:07:12"/>
    <n v="1448.55"/>
    <d v="2020-09-11T00:00:00"/>
    <d v="2020-09-11T00:00:00"/>
    <n v="445"/>
    <n v="7"/>
    <x v="5"/>
    <n v="0.08"/>
    <n v="115.884"/>
    <n v="4"/>
    <x v="7"/>
  </r>
  <r>
    <n v="446"/>
    <x v="193"/>
    <n v="63"/>
    <s v="Catanduva"/>
    <x v="2"/>
    <n v="39"/>
    <n v="102"/>
    <n v="3978"/>
    <d v="1899-12-30T00:00:00"/>
    <n v="3978"/>
    <d v="2020-09-18T00:00:00"/>
    <d v="2020-09-18T00:00:00"/>
    <n v="446"/>
    <n v="3"/>
    <x v="3"/>
    <n v="0.09"/>
    <n v="358.02"/>
    <n v="5"/>
    <x v="7"/>
  </r>
  <r>
    <n v="447"/>
    <x v="194"/>
    <n v="81"/>
    <s v="Duque de Caxias"/>
    <x v="1"/>
    <n v="20"/>
    <n v="112"/>
    <n v="2240"/>
    <d v="1899-12-30T03:21:36"/>
    <n v="1926.4"/>
    <d v="2020-09-19T00:00:00"/>
    <d v="2020-09-19T00:00:00"/>
    <n v="447"/>
    <n v="6"/>
    <x v="3"/>
    <n v="0.06"/>
    <n v="115.584"/>
    <n v="6"/>
    <x v="7"/>
  </r>
  <r>
    <n v="448"/>
    <x v="194"/>
    <n v="43"/>
    <s v="Dourados"/>
    <x v="3"/>
    <n v="37"/>
    <n v="107"/>
    <n v="3959"/>
    <d v="1899-12-30T00:14:24"/>
    <n v="3919.41"/>
    <d v="2020-09-10T00:00:00"/>
    <d v="2020-09-10T00:00:00"/>
    <n v="448"/>
    <n v="5"/>
    <x v="4"/>
    <n v="7.0000000000000007E-2"/>
    <n v="274.3587"/>
    <n v="7"/>
    <x v="7"/>
  </r>
  <r>
    <n v="449"/>
    <x v="195"/>
    <n v="7"/>
    <s v="Cabo de Santo Agostinho"/>
    <x v="4"/>
    <n v="42"/>
    <n v="113"/>
    <n v="4746"/>
    <d v="1899-12-30T02:52:48"/>
    <n v="4176.4799999999996"/>
    <d v="2020-09-13T00:00:00"/>
    <d v="2020-09-13T00:00:00"/>
    <n v="449"/>
    <n v="1"/>
    <x v="2"/>
    <n v="0.08"/>
    <n v="334.11839999999995"/>
    <n v="1"/>
    <x v="7"/>
  </r>
  <r>
    <n v="450"/>
    <x v="195"/>
    <n v="66"/>
    <s v="Gurupi"/>
    <x v="9"/>
    <n v="44"/>
    <n v="109"/>
    <n v="4796"/>
    <d v="1899-12-30T00:28:48"/>
    <n v="4700.08"/>
    <d v="2020-09-01T00:00:00"/>
    <d v="2020-09-01T00:00:00"/>
    <n v="450"/>
    <n v="4"/>
    <x v="6"/>
    <n v="0.06"/>
    <n v="282.00479999999999"/>
    <n v="2"/>
    <x v="7"/>
  </r>
  <r>
    <n v="451"/>
    <x v="195"/>
    <n v="76"/>
    <s v="Coronel Fabriciano"/>
    <x v="5"/>
    <n v="33"/>
    <n v="97"/>
    <n v="3201"/>
    <d v="1899-12-30T02:24:00"/>
    <n v="2880.9"/>
    <d v="2020-09-11T00:00:00"/>
    <d v="2020-09-11T00:00:00"/>
    <n v="451"/>
    <n v="5"/>
    <x v="3"/>
    <n v="0.08"/>
    <n v="230.47200000000001"/>
    <n v="3"/>
    <x v="7"/>
  </r>
  <r>
    <n v="452"/>
    <x v="196"/>
    <n v="37"/>
    <s v="Arcoverde"/>
    <x v="3"/>
    <n v="29"/>
    <n v="116"/>
    <n v="3364"/>
    <d v="1899-12-30T00:00:00"/>
    <n v="3364"/>
    <d v="2020-09-23T00:00:00"/>
    <d v="2020-09-23T00:00:00"/>
    <n v="452"/>
    <n v="4"/>
    <x v="2"/>
    <n v="0.06"/>
    <n v="201.84"/>
    <n v="4"/>
    <x v="7"/>
  </r>
  <r>
    <n v="453"/>
    <x v="196"/>
    <n v="13"/>
    <s v="Contagem"/>
    <x v="7"/>
    <n v="32"/>
    <n v="108"/>
    <n v="3456"/>
    <d v="1899-12-30T02:38:24"/>
    <n v="3075.84"/>
    <d v="2020-09-13T00:00:00"/>
    <d v="2020-09-13T00:00:00"/>
    <n v="453"/>
    <n v="5"/>
    <x v="2"/>
    <n v="7.0000000000000007E-2"/>
    <n v="215.30880000000002"/>
    <n v="5"/>
    <x v="7"/>
  </r>
  <r>
    <n v="454"/>
    <x v="197"/>
    <n v="30"/>
    <s v="Vitória da Conquista"/>
    <x v="0"/>
    <n v="40"/>
    <n v="106"/>
    <n v="4240"/>
    <d v="1899-12-30T02:38:24"/>
    <n v="3773.6"/>
    <d v="2020-09-19T00:00:00"/>
    <d v="2020-09-19T00:00:00"/>
    <n v="454"/>
    <n v="1"/>
    <x v="6"/>
    <n v="0.06"/>
    <n v="226.416"/>
    <n v="6"/>
    <x v="7"/>
  </r>
  <r>
    <n v="455"/>
    <x v="197"/>
    <n v="52"/>
    <s v="São Luís"/>
    <x v="4"/>
    <n v="49"/>
    <n v="92"/>
    <n v="4508"/>
    <d v="1899-12-30T01:40:48"/>
    <n v="4192.4399999999996"/>
    <d v="2020-09-15T00:00:00"/>
    <d v="2020-09-15T00:00:00"/>
    <n v="455"/>
    <n v="3"/>
    <x v="8"/>
    <n v="0.1"/>
    <n v="419.24399999999997"/>
    <n v="7"/>
    <x v="7"/>
  </r>
  <r>
    <n v="456"/>
    <x v="197"/>
    <n v="3"/>
    <s v="Barbacena"/>
    <x v="2"/>
    <n v="26"/>
    <n v="93"/>
    <n v="2418"/>
    <d v="1899-12-30T03:36:00"/>
    <n v="2055.3000000000002"/>
    <d v="2020-09-18T00:00:00"/>
    <d v="2020-09-18T00:00:00"/>
    <n v="456"/>
    <n v="4"/>
    <x v="0"/>
    <n v="0.1"/>
    <n v="205.53000000000003"/>
    <n v="1"/>
    <x v="7"/>
  </r>
  <r>
    <n v="457"/>
    <x v="198"/>
    <n v="37"/>
    <s v="Arcoverde"/>
    <x v="2"/>
    <n v="39"/>
    <n v="96"/>
    <n v="3744"/>
    <d v="1899-12-30T01:40:48"/>
    <n v="3481.92"/>
    <d v="2020-09-16T00:00:00"/>
    <d v="2020-09-16T00:00:00"/>
    <n v="457"/>
    <n v="2"/>
    <x v="5"/>
    <n v="0.05"/>
    <n v="174.096"/>
    <n v="2"/>
    <x v="7"/>
  </r>
  <r>
    <n v="458"/>
    <x v="198"/>
    <n v="23"/>
    <s v="Santa Bárbara D'Oeste"/>
    <x v="1"/>
    <n v="45"/>
    <n v="114"/>
    <n v="5130"/>
    <d v="1899-12-30T00:43:12"/>
    <n v="4976.1000000000004"/>
    <d v="2020-09-27T00:00:00"/>
    <d v="2020-09-27T00:00:00"/>
    <n v="458"/>
    <n v="4"/>
    <x v="3"/>
    <n v="0.1"/>
    <n v="497.61000000000007"/>
    <n v="3"/>
    <x v="7"/>
  </r>
  <r>
    <n v="459"/>
    <x v="198"/>
    <n v="7"/>
    <s v="Cabo de Santo Agostinho"/>
    <x v="0"/>
    <n v="48"/>
    <n v="100"/>
    <n v="4800"/>
    <d v="1899-12-30T00:43:12"/>
    <n v="4656"/>
    <d v="2020-09-28T00:00:00"/>
    <d v="2020-09-28T00:00:00"/>
    <n v="459"/>
    <n v="1"/>
    <x v="9"/>
    <n v="0.05"/>
    <n v="232.8"/>
    <n v="4"/>
    <x v="7"/>
  </r>
  <r>
    <n v="460"/>
    <x v="198"/>
    <n v="87"/>
    <s v="Fortaleza"/>
    <x v="1"/>
    <n v="45"/>
    <n v="109"/>
    <n v="4905"/>
    <d v="1899-12-30T00:43:12"/>
    <n v="4757.8500000000004"/>
    <d v="2020-09-05T00:00:00"/>
    <d v="2020-09-05T00:00:00"/>
    <n v="460"/>
    <n v="2"/>
    <x v="7"/>
    <n v="0.05"/>
    <n v="237.89250000000004"/>
    <n v="5"/>
    <x v="7"/>
  </r>
  <r>
    <n v="461"/>
    <x v="199"/>
    <n v="98"/>
    <s v="Recife"/>
    <x v="6"/>
    <n v="31"/>
    <n v="99"/>
    <n v="3069"/>
    <d v="1899-12-30T02:38:24"/>
    <n v="2731.41"/>
    <d v="2020-09-07T00:00:00"/>
    <d v="2020-09-07T00:00:00"/>
    <n v="461"/>
    <n v="7"/>
    <x v="6"/>
    <n v="0.09"/>
    <n v="245.82689999999997"/>
    <n v="6"/>
    <x v="7"/>
  </r>
  <r>
    <n v="462"/>
    <x v="200"/>
    <n v="41"/>
    <s v="São João Del Rei"/>
    <x v="7"/>
    <n v="36"/>
    <n v="108"/>
    <n v="3888"/>
    <d v="1899-12-30T00:28:48"/>
    <n v="3810.24"/>
    <d v="2020-09-20T00:00:00"/>
    <d v="2020-09-20T00:00:00"/>
    <n v="462"/>
    <n v="4"/>
    <x v="3"/>
    <n v="7.0000000000000007E-2"/>
    <n v="266.71680000000003"/>
    <n v="7"/>
    <x v="8"/>
  </r>
  <r>
    <n v="463"/>
    <x v="200"/>
    <n v="51"/>
    <s v="Avaré"/>
    <x v="1"/>
    <n v="17"/>
    <n v="99"/>
    <n v="1683"/>
    <d v="1899-12-30T02:52:48"/>
    <n v="1481.04"/>
    <d v="2020-09-06T00:00:00"/>
    <d v="2020-09-06T00:00:00"/>
    <n v="463"/>
    <n v="3"/>
    <x v="3"/>
    <n v="0.05"/>
    <n v="74.052000000000007"/>
    <n v="1"/>
    <x v="8"/>
  </r>
  <r>
    <n v="464"/>
    <x v="200"/>
    <n v="10"/>
    <s v="Campinas"/>
    <x v="3"/>
    <n v="16"/>
    <n v="114"/>
    <n v="1824"/>
    <d v="1899-12-30T01:55:12"/>
    <n v="1678.08"/>
    <d v="2020-09-20T00:00:00"/>
    <d v="2020-09-20T00:00:00"/>
    <n v="464"/>
    <n v="4"/>
    <x v="8"/>
    <n v="0.09"/>
    <n v="151.02719999999999"/>
    <n v="2"/>
    <x v="8"/>
  </r>
  <r>
    <n v="465"/>
    <x v="200"/>
    <n v="96"/>
    <s v="Santana de Parnaíba"/>
    <x v="0"/>
    <n v="12"/>
    <n v="91"/>
    <n v="1092"/>
    <d v="1899-12-30T02:52:48"/>
    <n v="960.96"/>
    <d v="2020-09-05T00:00:00"/>
    <d v="2020-09-05T00:00:00"/>
    <n v="465"/>
    <n v="4"/>
    <x v="4"/>
    <n v="0.08"/>
    <n v="76.876800000000003"/>
    <n v="3"/>
    <x v="8"/>
  </r>
  <r>
    <n v="466"/>
    <x v="201"/>
    <n v="100"/>
    <s v="São Paulo"/>
    <x v="4"/>
    <n v="28"/>
    <n v="95"/>
    <n v="2660"/>
    <d v="1899-12-30T00:00:00"/>
    <n v="2660"/>
    <d v="2020-09-25T00:00:00"/>
    <d v="2020-09-25T00:00:00"/>
    <n v="466"/>
    <n v="4"/>
    <x v="7"/>
    <n v="0.06"/>
    <n v="159.6"/>
    <n v="4"/>
    <x v="8"/>
  </r>
  <r>
    <n v="467"/>
    <x v="201"/>
    <n v="52"/>
    <s v="São Luís"/>
    <x v="2"/>
    <n v="34"/>
    <n v="99"/>
    <n v="3366"/>
    <d v="1899-12-30T02:38:24"/>
    <n v="2995.74"/>
    <d v="2020-09-08T00:00:00"/>
    <d v="2020-09-08T00:00:00"/>
    <n v="467"/>
    <n v="4"/>
    <x v="7"/>
    <n v="0.05"/>
    <n v="149.78700000000001"/>
    <n v="5"/>
    <x v="8"/>
  </r>
  <r>
    <n v="468"/>
    <x v="202"/>
    <n v="40"/>
    <s v="Goiânia"/>
    <x v="0"/>
    <n v="48"/>
    <n v="112"/>
    <n v="5376"/>
    <d v="1899-12-30T00:14:24"/>
    <n v="5322.24"/>
    <d v="2020-10-03T00:00:00"/>
    <d v="2020-10-03T00:00:00"/>
    <n v="468"/>
    <n v="4"/>
    <x v="0"/>
    <n v="0.05"/>
    <n v="266.11200000000002"/>
    <n v="6"/>
    <x v="8"/>
  </r>
  <r>
    <n v="469"/>
    <x v="202"/>
    <n v="6"/>
    <s v="Jaú"/>
    <x v="2"/>
    <n v="45"/>
    <n v="118"/>
    <n v="5310"/>
    <d v="1899-12-30T00:14:24"/>
    <n v="5256.9"/>
    <d v="2020-09-06T00:00:00"/>
    <d v="2020-09-06T00:00:00"/>
    <n v="469"/>
    <n v="4"/>
    <x v="1"/>
    <n v="0.05"/>
    <n v="262.84499999999997"/>
    <n v="7"/>
    <x v="8"/>
  </r>
  <r>
    <n v="470"/>
    <x v="203"/>
    <n v="59"/>
    <s v="Garanhuns"/>
    <x v="1"/>
    <n v="19"/>
    <n v="108"/>
    <n v="2052"/>
    <d v="1899-12-30T02:09:36"/>
    <n v="1867.32"/>
    <d v="2020-09-23T00:00:00"/>
    <d v="2020-09-23T00:00:00"/>
    <n v="470"/>
    <n v="3"/>
    <x v="0"/>
    <n v="7.0000000000000007E-2"/>
    <n v="130.7124"/>
    <n v="1"/>
    <x v="8"/>
  </r>
  <r>
    <n v="471"/>
    <x v="204"/>
    <n v="20"/>
    <s v="São Bernardo do Campo"/>
    <x v="5"/>
    <n v="47"/>
    <n v="91"/>
    <n v="4277"/>
    <d v="1899-12-30T03:07:12"/>
    <n v="3720.99"/>
    <d v="2020-09-06T00:00:00"/>
    <d v="2020-09-06T00:00:00"/>
    <n v="471"/>
    <n v="5"/>
    <x v="1"/>
    <n v="7.0000000000000007E-2"/>
    <n v="260.46930000000003"/>
    <n v="2"/>
    <x v="8"/>
  </r>
  <r>
    <n v="472"/>
    <x v="204"/>
    <n v="49"/>
    <s v="São Paulo"/>
    <x v="4"/>
    <n v="20"/>
    <n v="100"/>
    <n v="2000"/>
    <d v="1899-12-30T03:21:36"/>
    <n v="1720"/>
    <d v="2020-09-28T00:00:00"/>
    <d v="2020-09-28T00:00:00"/>
    <n v="472"/>
    <n v="4"/>
    <x v="7"/>
    <n v="0.09"/>
    <n v="154.79999999999998"/>
    <n v="3"/>
    <x v="8"/>
  </r>
  <r>
    <n v="473"/>
    <x v="205"/>
    <n v="29"/>
    <s v="Teófilo Otoni"/>
    <x v="2"/>
    <n v="37"/>
    <n v="117"/>
    <n v="4329"/>
    <d v="1899-12-30T02:38:24"/>
    <n v="3852.81"/>
    <d v="2020-09-23T00:00:00"/>
    <d v="2020-09-23T00:00:00"/>
    <n v="473"/>
    <n v="4"/>
    <x v="5"/>
    <n v="7.0000000000000007E-2"/>
    <n v="269.69670000000002"/>
    <n v="4"/>
    <x v="8"/>
  </r>
  <r>
    <n v="474"/>
    <x v="206"/>
    <n v="45"/>
    <s v="São Paulo"/>
    <x v="3"/>
    <n v="49"/>
    <n v="93"/>
    <n v="4557"/>
    <d v="1899-12-30T00:00:00"/>
    <n v="4557"/>
    <d v="2020-09-29T00:00:00"/>
    <d v="2020-09-29T00:00:00"/>
    <n v="474"/>
    <n v="4"/>
    <x v="8"/>
    <n v="0.1"/>
    <n v="455.70000000000005"/>
    <n v="5"/>
    <x v="8"/>
  </r>
  <r>
    <n v="475"/>
    <x v="207"/>
    <n v="8"/>
    <s v="São Paulo"/>
    <x v="3"/>
    <n v="21"/>
    <n v="117"/>
    <n v="2457"/>
    <d v="1899-12-30T02:52:48"/>
    <n v="2162.16"/>
    <d v="2020-09-24T00:00:00"/>
    <d v="2020-09-24T00:00:00"/>
    <n v="475"/>
    <n v="4"/>
    <x v="1"/>
    <n v="0.08"/>
    <n v="172.97279999999998"/>
    <n v="6"/>
    <x v="8"/>
  </r>
  <r>
    <n v="476"/>
    <x v="207"/>
    <n v="71"/>
    <s v="Paranavaí"/>
    <x v="2"/>
    <n v="27"/>
    <n v="111"/>
    <n v="2997"/>
    <d v="1899-12-30T03:36:00"/>
    <n v="2547.4499999999998"/>
    <d v="2020-09-29T00:00:00"/>
    <d v="2020-09-29T00:00:00"/>
    <n v="476"/>
    <n v="7"/>
    <x v="8"/>
    <n v="0.05"/>
    <n v="127.3725"/>
    <n v="7"/>
    <x v="8"/>
  </r>
  <r>
    <n v="477"/>
    <x v="207"/>
    <n v="17"/>
    <s v="Rio de Janeiro"/>
    <x v="1"/>
    <n v="34"/>
    <n v="98"/>
    <n v="3332"/>
    <d v="1899-12-30T03:36:00"/>
    <n v="2832.2"/>
    <d v="2020-09-19T00:00:00"/>
    <d v="2020-09-19T00:00:00"/>
    <n v="477"/>
    <n v="7"/>
    <x v="7"/>
    <n v="0.1"/>
    <n v="283.21999999999997"/>
    <n v="1"/>
    <x v="8"/>
  </r>
  <r>
    <n v="478"/>
    <x v="208"/>
    <n v="22"/>
    <s v="Núcleo Bandeirante"/>
    <x v="6"/>
    <n v="35"/>
    <n v="118"/>
    <n v="4130"/>
    <d v="1899-12-30T03:36:00"/>
    <n v="3510.5"/>
    <d v="2020-09-30T00:00:00"/>
    <d v="2020-09-30T00:00:00"/>
    <n v="478"/>
    <n v="7"/>
    <x v="7"/>
    <n v="0.09"/>
    <n v="315.94499999999999"/>
    <n v="2"/>
    <x v="8"/>
  </r>
  <r>
    <n v="479"/>
    <x v="208"/>
    <n v="3"/>
    <s v="Barbacena"/>
    <x v="1"/>
    <n v="34"/>
    <n v="96"/>
    <n v="3264"/>
    <d v="1899-12-30T02:24:00"/>
    <n v="2937.6"/>
    <d v="2020-09-17T00:00:00"/>
    <d v="2020-09-17T00:00:00"/>
    <n v="479"/>
    <n v="7"/>
    <x v="0"/>
    <n v="0.1"/>
    <n v="293.76"/>
    <n v="3"/>
    <x v="8"/>
  </r>
  <r>
    <n v="480"/>
    <x v="209"/>
    <n v="19"/>
    <s v="São Paulo"/>
    <x v="2"/>
    <n v="12"/>
    <n v="106"/>
    <n v="1272"/>
    <d v="1899-12-30T02:52:48"/>
    <n v="1119.3600000000001"/>
    <d v="2020-10-11T00:00:00"/>
    <d v="2020-10-11T00:00:00"/>
    <n v="480"/>
    <n v="1"/>
    <x v="5"/>
    <n v="0.1"/>
    <n v="111.93600000000002"/>
    <n v="4"/>
    <x v="8"/>
  </r>
  <r>
    <n v="481"/>
    <x v="209"/>
    <n v="18"/>
    <s v="Bagé"/>
    <x v="6"/>
    <n v="46"/>
    <n v="105"/>
    <n v="4830"/>
    <d v="1899-12-30T01:26:24"/>
    <n v="4540.2"/>
    <d v="2020-10-10T00:00:00"/>
    <d v="2020-10-10T00:00:00"/>
    <n v="481"/>
    <n v="1"/>
    <x v="5"/>
    <n v="7.0000000000000007E-2"/>
    <n v="317.81400000000002"/>
    <n v="5"/>
    <x v="8"/>
  </r>
  <r>
    <n v="482"/>
    <x v="210"/>
    <n v="27"/>
    <s v="Praia Grande"/>
    <x v="8"/>
    <n v="42"/>
    <n v="95"/>
    <n v="3990"/>
    <d v="1899-12-30T00:28:48"/>
    <n v="3910.2"/>
    <d v="2020-09-21T00:00:00"/>
    <d v="2020-09-21T00:00:00"/>
    <n v="482"/>
    <n v="4"/>
    <x v="6"/>
    <n v="0.05"/>
    <n v="195.51"/>
    <n v="6"/>
    <x v="8"/>
  </r>
  <r>
    <n v="483"/>
    <x v="210"/>
    <n v="61"/>
    <s v="Petrópolis"/>
    <x v="5"/>
    <n v="36"/>
    <n v="104"/>
    <n v="3744"/>
    <d v="1899-12-30T03:07:12"/>
    <n v="3257.2799999999997"/>
    <d v="2020-09-23T00:00:00"/>
    <d v="2020-09-23T00:00:00"/>
    <n v="483"/>
    <n v="6"/>
    <x v="1"/>
    <n v="0.09"/>
    <n v="293.15519999999998"/>
    <n v="7"/>
    <x v="8"/>
  </r>
  <r>
    <n v="484"/>
    <x v="210"/>
    <n v="72"/>
    <s v="São Paulo"/>
    <x v="6"/>
    <n v="24"/>
    <n v="112"/>
    <n v="2688"/>
    <d v="1899-12-30T01:40:48"/>
    <n v="2499.84"/>
    <d v="2020-10-05T00:00:00"/>
    <d v="2020-10-05T00:00:00"/>
    <n v="484"/>
    <n v="7"/>
    <x v="3"/>
    <n v="0.08"/>
    <n v="199.98720000000003"/>
    <n v="1"/>
    <x v="8"/>
  </r>
  <r>
    <n v="485"/>
    <x v="211"/>
    <n v="77"/>
    <s v="Sorocaba"/>
    <x v="5"/>
    <n v="11"/>
    <n v="90"/>
    <n v="990"/>
    <d v="1899-12-30T01:55:12"/>
    <n v="910.8"/>
    <d v="2020-09-28T00:00:00"/>
    <d v="2020-09-28T00:00:00"/>
    <n v="485"/>
    <n v="5"/>
    <x v="4"/>
    <n v="0.09"/>
    <n v="81.971999999999994"/>
    <n v="2"/>
    <x v="8"/>
  </r>
  <r>
    <n v="486"/>
    <x v="212"/>
    <n v="77"/>
    <s v="Sorocaba"/>
    <x v="3"/>
    <n v="44"/>
    <n v="98"/>
    <n v="4312"/>
    <d v="1899-12-30T03:07:12"/>
    <n v="3751.44"/>
    <d v="2020-10-02T00:00:00"/>
    <d v="2020-10-02T00:00:00"/>
    <n v="486"/>
    <n v="4"/>
    <x v="7"/>
    <n v="0.05"/>
    <n v="187.572"/>
    <n v="3"/>
    <x v="8"/>
  </r>
  <r>
    <n v="487"/>
    <x v="212"/>
    <n v="70"/>
    <s v="Rio de Janeiro"/>
    <x v="2"/>
    <n v="41"/>
    <n v="99"/>
    <n v="4059"/>
    <d v="1899-12-30T00:14:24"/>
    <n v="4018.41"/>
    <d v="2020-10-05T00:00:00"/>
    <d v="2020-10-05T00:00:00"/>
    <n v="487"/>
    <n v="1"/>
    <x v="9"/>
    <n v="0.08"/>
    <n v="321.47280000000001"/>
    <n v="4"/>
    <x v="8"/>
  </r>
  <r>
    <n v="488"/>
    <x v="212"/>
    <n v="35"/>
    <s v="São Paulo"/>
    <x v="4"/>
    <n v="45"/>
    <n v="117"/>
    <n v="5265"/>
    <d v="1899-12-30T02:09:36"/>
    <n v="4791.1499999999996"/>
    <d v="2020-10-04T00:00:00"/>
    <d v="2020-10-04T00:00:00"/>
    <n v="488"/>
    <n v="2"/>
    <x v="9"/>
    <n v="0.1"/>
    <n v="479.11500000000001"/>
    <n v="5"/>
    <x v="8"/>
  </r>
  <r>
    <n v="489"/>
    <x v="213"/>
    <n v="89"/>
    <s v="Goiânia"/>
    <x v="6"/>
    <n v="21"/>
    <n v="95"/>
    <n v="1995"/>
    <d v="1899-12-30T00:14:24"/>
    <n v="1975.05"/>
    <d v="2020-10-09T00:00:00"/>
    <d v="2020-10-09T00:00:00"/>
    <n v="489"/>
    <n v="3"/>
    <x v="9"/>
    <n v="0.08"/>
    <n v="158.00399999999999"/>
    <n v="6"/>
    <x v="8"/>
  </r>
  <r>
    <n v="490"/>
    <x v="214"/>
    <n v="85"/>
    <s v="Piraquara"/>
    <x v="5"/>
    <n v="17"/>
    <n v="114"/>
    <n v="1938"/>
    <d v="1899-12-30T01:26:24"/>
    <n v="1821.72"/>
    <d v="2020-09-19T00:00:00"/>
    <d v="2020-09-19T00:00:00"/>
    <n v="490"/>
    <n v="6"/>
    <x v="3"/>
    <n v="0.1"/>
    <n v="182.17200000000003"/>
    <n v="7"/>
    <x v="8"/>
  </r>
  <r>
    <n v="491"/>
    <x v="215"/>
    <n v="84"/>
    <s v="Manaus"/>
    <x v="5"/>
    <n v="44"/>
    <n v="93"/>
    <n v="4092"/>
    <d v="1899-12-30T03:07:12"/>
    <n v="3560.04"/>
    <d v="2020-10-09T00:00:00"/>
    <d v="2020-10-09T00:00:00"/>
    <n v="491"/>
    <n v="5"/>
    <x v="6"/>
    <n v="0.1"/>
    <n v="356.00400000000002"/>
    <n v="1"/>
    <x v="8"/>
  </r>
  <r>
    <n v="492"/>
    <x v="215"/>
    <n v="83"/>
    <s v="Queimados"/>
    <x v="7"/>
    <n v="16"/>
    <n v="119"/>
    <n v="1904"/>
    <d v="1899-12-30T00:28:48"/>
    <n v="1865.92"/>
    <d v="2020-09-20T00:00:00"/>
    <d v="2020-09-20T00:00:00"/>
    <n v="492"/>
    <n v="5"/>
    <x v="4"/>
    <n v="0.1"/>
    <n v="186.59200000000001"/>
    <n v="2"/>
    <x v="8"/>
  </r>
  <r>
    <n v="493"/>
    <x v="216"/>
    <n v="6"/>
    <s v="Jaú"/>
    <x v="6"/>
    <n v="49"/>
    <n v="112"/>
    <n v="5488"/>
    <d v="1899-12-30T00:14:24"/>
    <n v="5433.12"/>
    <d v="2020-10-07T00:00:00"/>
    <d v="2020-10-07T00:00:00"/>
    <n v="493"/>
    <n v="5"/>
    <x v="2"/>
    <n v="0.05"/>
    <n v="271.65600000000001"/>
    <n v="3"/>
    <x v="8"/>
  </r>
  <r>
    <n v="494"/>
    <x v="216"/>
    <n v="94"/>
    <s v="Goiânia"/>
    <x v="8"/>
    <n v="33"/>
    <n v="115"/>
    <n v="3795"/>
    <d v="1899-12-30T00:28:48"/>
    <n v="3719.1"/>
    <d v="2020-10-13T00:00:00"/>
    <d v="2020-10-13T00:00:00"/>
    <n v="494"/>
    <n v="7"/>
    <x v="7"/>
    <n v="0.1"/>
    <n v="371.91"/>
    <n v="4"/>
    <x v="8"/>
  </r>
  <r>
    <n v="495"/>
    <x v="217"/>
    <n v="97"/>
    <s v="Franca"/>
    <x v="7"/>
    <n v="33"/>
    <n v="102"/>
    <n v="3366"/>
    <d v="1899-12-30T03:21:36"/>
    <n v="2894.7599999999998"/>
    <d v="2020-09-21T00:00:00"/>
    <d v="2020-09-21T00:00:00"/>
    <n v="495"/>
    <n v="7"/>
    <x v="7"/>
    <n v="7.0000000000000007E-2"/>
    <n v="202.63320000000002"/>
    <n v="5"/>
    <x v="8"/>
  </r>
  <r>
    <n v="496"/>
    <x v="218"/>
    <n v="74"/>
    <s v="São Paulo"/>
    <x v="9"/>
    <n v="15"/>
    <n v="116"/>
    <n v="1740"/>
    <d v="1899-12-30T01:12:00"/>
    <n v="1653"/>
    <d v="2020-10-09T00:00:00"/>
    <d v="2020-10-09T00:00:00"/>
    <n v="496"/>
    <n v="5"/>
    <x v="7"/>
    <n v="0.06"/>
    <n v="99.179999999999993"/>
    <n v="6"/>
    <x v="8"/>
  </r>
  <r>
    <n v="497"/>
    <x v="218"/>
    <n v="89"/>
    <s v="Goiânia"/>
    <x v="6"/>
    <n v="14"/>
    <n v="113"/>
    <n v="1582"/>
    <d v="1899-12-30T03:07:12"/>
    <n v="1376.34"/>
    <d v="2020-10-02T00:00:00"/>
    <d v="2020-10-02T00:00:00"/>
    <n v="497"/>
    <n v="6"/>
    <x v="9"/>
    <n v="0.09"/>
    <n v="123.87059999999998"/>
    <n v="7"/>
    <x v="8"/>
  </r>
  <r>
    <n v="498"/>
    <x v="218"/>
    <n v="55"/>
    <s v="Manaus"/>
    <x v="2"/>
    <n v="23"/>
    <n v="100"/>
    <n v="2300"/>
    <d v="1899-12-30T02:38:24"/>
    <n v="2047"/>
    <d v="2020-10-13T00:00:00"/>
    <d v="2020-10-13T00:00:00"/>
    <n v="498"/>
    <n v="1"/>
    <x v="7"/>
    <n v="0.08"/>
    <n v="163.76"/>
    <n v="1"/>
    <x v="8"/>
  </r>
  <r>
    <n v="499"/>
    <x v="219"/>
    <n v="2"/>
    <s v="Laranjeiras do Sul"/>
    <x v="5"/>
    <n v="40"/>
    <n v="93"/>
    <n v="3720"/>
    <d v="1899-12-30T01:26:24"/>
    <n v="3496.8"/>
    <d v="2020-09-28T00:00:00"/>
    <d v="2020-09-28T00:00:00"/>
    <n v="499"/>
    <n v="7"/>
    <x v="1"/>
    <n v="0.09"/>
    <n v="314.71199999999999"/>
    <n v="2"/>
    <x v="8"/>
  </r>
  <r>
    <n v="500"/>
    <x v="220"/>
    <n v="67"/>
    <s v="Barra do Piraí"/>
    <x v="8"/>
    <n v="34"/>
    <n v="114"/>
    <n v="3876"/>
    <d v="1899-12-30T01:12:00"/>
    <n v="3682.2"/>
    <d v="2020-09-27T00:00:00"/>
    <d v="2020-09-27T00:00:00"/>
    <n v="500"/>
    <n v="7"/>
    <x v="7"/>
    <n v="7.0000000000000007E-2"/>
    <n v="257.75400000000002"/>
    <n v="3"/>
    <x v="8"/>
  </r>
  <r>
    <n v="501"/>
    <x v="221"/>
    <n v="6"/>
    <s v="Jaú"/>
    <x v="6"/>
    <n v="44"/>
    <n v="96"/>
    <n v="4224"/>
    <d v="1899-12-30T02:09:36"/>
    <n v="3843.84"/>
    <d v="2020-09-29T00:00:00"/>
    <d v="2020-09-29T00:00:00"/>
    <n v="501"/>
    <n v="1"/>
    <x v="6"/>
    <n v="0.05"/>
    <n v="192.19200000000001"/>
    <n v="4"/>
    <x v="8"/>
  </r>
  <r>
    <n v="502"/>
    <x v="221"/>
    <n v="97"/>
    <s v="Franca"/>
    <x v="2"/>
    <n v="36"/>
    <n v="98"/>
    <n v="3528"/>
    <d v="1899-12-30T02:24:00"/>
    <n v="3175.2"/>
    <d v="2020-10-12T00:00:00"/>
    <d v="2020-10-12T00:00:00"/>
    <n v="502"/>
    <n v="7"/>
    <x v="2"/>
    <n v="7.0000000000000007E-2"/>
    <n v="222.26400000000001"/>
    <n v="5"/>
    <x v="8"/>
  </r>
  <r>
    <n v="503"/>
    <x v="221"/>
    <n v="27"/>
    <s v="Praia Grande"/>
    <x v="9"/>
    <n v="34"/>
    <n v="116"/>
    <n v="3944"/>
    <d v="1899-12-30T00:00:00"/>
    <n v="3944"/>
    <d v="2020-10-22T00:00:00"/>
    <d v="2020-10-22T00:00:00"/>
    <n v="503"/>
    <n v="7"/>
    <x v="7"/>
    <n v="7.0000000000000007E-2"/>
    <n v="276.08000000000004"/>
    <n v="6"/>
    <x v="8"/>
  </r>
  <r>
    <n v="504"/>
    <x v="222"/>
    <n v="27"/>
    <s v="Praia Grande"/>
    <x v="1"/>
    <n v="44"/>
    <n v="95"/>
    <n v="4180"/>
    <d v="1899-12-30T00:00:00"/>
    <n v="4180"/>
    <d v="2020-09-28T00:00:00"/>
    <d v="2020-09-28T00:00:00"/>
    <n v="504"/>
    <n v="5"/>
    <x v="7"/>
    <n v="0.06"/>
    <n v="250.79999999999998"/>
    <n v="7"/>
    <x v="8"/>
  </r>
  <r>
    <n v="505"/>
    <x v="222"/>
    <n v="22"/>
    <s v="Núcleo Bandeirante"/>
    <x v="2"/>
    <n v="35"/>
    <n v="98"/>
    <n v="3430"/>
    <d v="1899-12-30T00:57:36"/>
    <n v="3292.8"/>
    <d v="2020-09-28T00:00:00"/>
    <d v="2020-09-28T00:00:00"/>
    <n v="505"/>
    <n v="7"/>
    <x v="0"/>
    <n v="0.05"/>
    <n v="164.64000000000001"/>
    <n v="1"/>
    <x v="8"/>
  </r>
  <r>
    <n v="506"/>
    <x v="223"/>
    <n v="47"/>
    <s v="Fortaleza"/>
    <x v="2"/>
    <n v="44"/>
    <n v="107"/>
    <n v="4708"/>
    <d v="1899-12-30T00:14:24"/>
    <n v="4660.92"/>
    <d v="2020-10-18T00:00:00"/>
    <d v="2020-10-18T00:00:00"/>
    <n v="506"/>
    <n v="2"/>
    <x v="2"/>
    <n v="0.1"/>
    <n v="466.09200000000004"/>
    <n v="2"/>
    <x v="8"/>
  </r>
  <r>
    <n v="507"/>
    <x v="224"/>
    <n v="99"/>
    <s v="Foz do Iguaçu"/>
    <x v="1"/>
    <n v="19"/>
    <n v="120"/>
    <n v="2280"/>
    <d v="1899-12-30T03:07:12"/>
    <n v="1983.6"/>
    <d v="2020-10-14T00:00:00"/>
    <d v="2020-10-14T00:00:00"/>
    <n v="507"/>
    <n v="4"/>
    <x v="4"/>
    <n v="0.09"/>
    <n v="178.52399999999997"/>
    <n v="3"/>
    <x v="8"/>
  </r>
  <r>
    <n v="508"/>
    <x v="224"/>
    <n v="96"/>
    <s v="Santana de Parnaíba"/>
    <x v="2"/>
    <n v="10"/>
    <n v="111"/>
    <n v="1110"/>
    <d v="1899-12-30T00:57:36"/>
    <n v="1065.5999999999999"/>
    <d v="2020-10-11T00:00:00"/>
    <d v="2020-10-11T00:00:00"/>
    <n v="508"/>
    <n v="2"/>
    <x v="5"/>
    <n v="0.06"/>
    <n v="63.935999999999993"/>
    <n v="4"/>
    <x v="8"/>
  </r>
  <r>
    <n v="509"/>
    <x v="225"/>
    <n v="50"/>
    <s v="Patos de Minas"/>
    <x v="1"/>
    <n v="37"/>
    <n v="110"/>
    <n v="4070"/>
    <d v="1899-12-30T01:26:24"/>
    <n v="3825.8"/>
    <d v="2020-10-14T00:00:00"/>
    <d v="2020-10-14T00:00:00"/>
    <n v="509"/>
    <n v="6"/>
    <x v="2"/>
    <n v="0.08"/>
    <n v="306.06400000000002"/>
    <n v="5"/>
    <x v="9"/>
  </r>
  <r>
    <n v="510"/>
    <x v="225"/>
    <n v="20"/>
    <s v="São Bernardo do Campo"/>
    <x v="4"/>
    <n v="22"/>
    <n v="110"/>
    <n v="2420"/>
    <d v="1899-12-30T01:12:00"/>
    <n v="2299"/>
    <d v="2020-10-26T00:00:00"/>
    <d v="2020-10-26T00:00:00"/>
    <n v="510"/>
    <n v="3"/>
    <x v="7"/>
    <n v="0.05"/>
    <n v="114.95"/>
    <n v="6"/>
    <x v="9"/>
  </r>
  <r>
    <n v="511"/>
    <x v="226"/>
    <n v="73"/>
    <s v="São Paulo"/>
    <x v="9"/>
    <n v="43"/>
    <n v="108"/>
    <n v="4644"/>
    <d v="1899-12-30T02:24:00"/>
    <n v="4179.6000000000004"/>
    <d v="2020-10-23T00:00:00"/>
    <d v="2020-10-23T00:00:00"/>
    <n v="511"/>
    <n v="1"/>
    <x v="6"/>
    <n v="0.1"/>
    <n v="417.96000000000004"/>
    <n v="7"/>
    <x v="9"/>
  </r>
  <r>
    <n v="512"/>
    <x v="226"/>
    <n v="12"/>
    <s v="São José do Rio Preto"/>
    <x v="5"/>
    <n v="40"/>
    <n v="107"/>
    <n v="4280"/>
    <d v="1899-12-30T02:52:48"/>
    <n v="3766.4"/>
    <d v="2020-10-16T00:00:00"/>
    <d v="2020-10-16T00:00:00"/>
    <n v="512"/>
    <n v="7"/>
    <x v="6"/>
    <n v="0.1"/>
    <n v="376.64000000000004"/>
    <n v="1"/>
    <x v="9"/>
  </r>
  <r>
    <n v="513"/>
    <x v="226"/>
    <n v="99"/>
    <s v="Foz do Iguaçu"/>
    <x v="0"/>
    <n v="13"/>
    <n v="120"/>
    <n v="1560"/>
    <d v="1899-12-30T00:00:00"/>
    <n v="1560"/>
    <d v="2020-10-29T00:00:00"/>
    <d v="2020-10-29T00:00:00"/>
    <n v="513"/>
    <n v="1"/>
    <x v="2"/>
    <n v="7.0000000000000007E-2"/>
    <n v="109.20000000000002"/>
    <n v="2"/>
    <x v="9"/>
  </r>
  <r>
    <n v="514"/>
    <x v="227"/>
    <n v="91"/>
    <s v="Itaquaquecetuba"/>
    <x v="2"/>
    <n v="46"/>
    <n v="111"/>
    <n v="5106"/>
    <d v="1899-12-30T00:57:36"/>
    <n v="4901.76"/>
    <d v="2020-10-28T00:00:00"/>
    <d v="2020-10-28T00:00:00"/>
    <n v="514"/>
    <n v="2"/>
    <x v="5"/>
    <n v="0.09"/>
    <n v="441.15840000000003"/>
    <n v="3"/>
    <x v="9"/>
  </r>
  <r>
    <n v="515"/>
    <x v="227"/>
    <n v="13"/>
    <s v="Contagem"/>
    <x v="6"/>
    <n v="48"/>
    <n v="118"/>
    <n v="5664"/>
    <d v="1899-12-30T00:43:12"/>
    <n v="5494.08"/>
    <d v="2020-10-18T00:00:00"/>
    <d v="2020-10-18T00:00:00"/>
    <n v="515"/>
    <n v="6"/>
    <x v="6"/>
    <n v="0.06"/>
    <n v="329.64479999999998"/>
    <n v="4"/>
    <x v="9"/>
  </r>
  <r>
    <n v="516"/>
    <x v="227"/>
    <n v="56"/>
    <s v="Rio de Janeiro"/>
    <x v="9"/>
    <n v="25"/>
    <n v="99"/>
    <n v="2475"/>
    <d v="1899-12-30T02:24:00"/>
    <n v="2227.5"/>
    <d v="2020-10-18T00:00:00"/>
    <d v="2020-10-18T00:00:00"/>
    <n v="516"/>
    <n v="4"/>
    <x v="1"/>
    <n v="0.05"/>
    <n v="111.375"/>
    <n v="5"/>
    <x v="9"/>
  </r>
  <r>
    <n v="517"/>
    <x v="227"/>
    <n v="58"/>
    <s v="Natal"/>
    <x v="6"/>
    <n v="49"/>
    <n v="102"/>
    <n v="4998"/>
    <d v="1899-12-30T00:57:36"/>
    <n v="4798.08"/>
    <d v="2020-10-28T00:00:00"/>
    <d v="2020-10-28T00:00:00"/>
    <n v="517"/>
    <n v="5"/>
    <x v="8"/>
    <n v="0.09"/>
    <n v="431.8272"/>
    <n v="6"/>
    <x v="9"/>
  </r>
  <r>
    <n v="518"/>
    <x v="228"/>
    <n v="55"/>
    <s v="Manaus"/>
    <x v="0"/>
    <n v="20"/>
    <n v="98"/>
    <n v="1960"/>
    <d v="1899-12-30T00:43:12"/>
    <n v="1901.2"/>
    <d v="2020-10-26T00:00:00"/>
    <d v="2020-10-26T00:00:00"/>
    <n v="518"/>
    <n v="6"/>
    <x v="0"/>
    <n v="0.09"/>
    <n v="171.108"/>
    <n v="7"/>
    <x v="9"/>
  </r>
  <r>
    <n v="519"/>
    <x v="228"/>
    <n v="51"/>
    <s v="Avaré"/>
    <x v="5"/>
    <n v="36"/>
    <n v="113"/>
    <n v="4068"/>
    <d v="1899-12-30T02:24:00"/>
    <n v="3661.2"/>
    <d v="2020-10-12T00:00:00"/>
    <d v="2020-10-12T00:00:00"/>
    <n v="519"/>
    <n v="3"/>
    <x v="1"/>
    <n v="0.08"/>
    <n v="292.89600000000002"/>
    <n v="1"/>
    <x v="9"/>
  </r>
  <r>
    <n v="520"/>
    <x v="229"/>
    <n v="82"/>
    <s v="Rio de Janeiro"/>
    <x v="6"/>
    <n v="26"/>
    <n v="107"/>
    <n v="2782"/>
    <d v="1899-12-30T01:26:24"/>
    <n v="2615.08"/>
    <d v="2020-10-26T00:00:00"/>
    <d v="2020-10-26T00:00:00"/>
    <n v="520"/>
    <n v="3"/>
    <x v="7"/>
    <n v="0.05"/>
    <n v="130.75399999999999"/>
    <n v="2"/>
    <x v="9"/>
  </r>
  <r>
    <n v="521"/>
    <x v="230"/>
    <n v="69"/>
    <s v="Rio de Janeiro"/>
    <x v="2"/>
    <n v="50"/>
    <n v="117"/>
    <n v="5850"/>
    <d v="1899-12-30T03:21:36"/>
    <n v="5031"/>
    <d v="2020-11-06T00:00:00"/>
    <d v="2020-11-06T00:00:00"/>
    <n v="521"/>
    <n v="2"/>
    <x v="2"/>
    <n v="0.06"/>
    <n v="301.86"/>
    <n v="3"/>
    <x v="9"/>
  </r>
  <r>
    <n v="522"/>
    <x v="231"/>
    <n v="66"/>
    <s v="Gurupi"/>
    <x v="2"/>
    <n v="16"/>
    <n v="90"/>
    <n v="1440"/>
    <d v="1899-12-30T02:09:36"/>
    <n v="1310.4000000000001"/>
    <d v="2020-10-10T00:00:00"/>
    <d v="2020-10-10T00:00:00"/>
    <n v="522"/>
    <n v="4"/>
    <x v="1"/>
    <n v="0.09"/>
    <n v="117.93600000000001"/>
    <n v="4"/>
    <x v="9"/>
  </r>
  <r>
    <n v="523"/>
    <x v="231"/>
    <n v="61"/>
    <s v="Petrópolis"/>
    <x v="5"/>
    <n v="40"/>
    <n v="116"/>
    <n v="4640"/>
    <d v="1899-12-30T01:12:00"/>
    <n v="4408"/>
    <d v="2020-10-22T00:00:00"/>
    <d v="2020-10-22T00:00:00"/>
    <n v="523"/>
    <n v="1"/>
    <x v="0"/>
    <n v="0.1"/>
    <n v="440.8"/>
    <n v="5"/>
    <x v="9"/>
  </r>
  <r>
    <n v="524"/>
    <x v="231"/>
    <n v="63"/>
    <s v="Catanduva"/>
    <x v="5"/>
    <n v="40"/>
    <n v="108"/>
    <n v="4320"/>
    <d v="1899-12-30T00:57:36"/>
    <n v="4147.2"/>
    <d v="2020-10-24T00:00:00"/>
    <d v="2020-10-24T00:00:00"/>
    <n v="524"/>
    <n v="3"/>
    <x v="2"/>
    <n v="7.0000000000000007E-2"/>
    <n v="290.30400000000003"/>
    <n v="6"/>
    <x v="9"/>
  </r>
  <r>
    <n v="525"/>
    <x v="232"/>
    <n v="8"/>
    <s v="São Paulo"/>
    <x v="3"/>
    <n v="42"/>
    <n v="103"/>
    <n v="4326"/>
    <d v="1899-12-30T00:14:24"/>
    <n v="4282.74"/>
    <d v="2020-10-29T00:00:00"/>
    <d v="2020-10-29T00:00:00"/>
    <n v="525"/>
    <n v="5"/>
    <x v="4"/>
    <n v="0.09"/>
    <n v="385.44659999999999"/>
    <n v="7"/>
    <x v="9"/>
  </r>
  <r>
    <n v="526"/>
    <x v="232"/>
    <n v="33"/>
    <s v="Ituiutaba"/>
    <x v="2"/>
    <n v="39"/>
    <n v="120"/>
    <n v="4680"/>
    <d v="1899-12-30T02:38:24"/>
    <n v="4165.2"/>
    <d v="2020-10-27T00:00:00"/>
    <d v="2020-10-27T00:00:00"/>
    <n v="526"/>
    <n v="4"/>
    <x v="3"/>
    <n v="0.05"/>
    <n v="208.26"/>
    <n v="1"/>
    <x v="9"/>
  </r>
  <r>
    <n v="527"/>
    <x v="232"/>
    <n v="24"/>
    <s v="Viamão"/>
    <x v="8"/>
    <n v="38"/>
    <n v="96"/>
    <n v="3648"/>
    <d v="1899-12-30T00:43:12"/>
    <n v="3538.56"/>
    <d v="2020-10-21T00:00:00"/>
    <d v="2020-10-21T00:00:00"/>
    <n v="527"/>
    <n v="1"/>
    <x v="1"/>
    <n v="0.05"/>
    <n v="176.928"/>
    <n v="2"/>
    <x v="9"/>
  </r>
  <r>
    <n v="528"/>
    <x v="233"/>
    <n v="5"/>
    <s v="São Paulo"/>
    <x v="8"/>
    <n v="32"/>
    <n v="112"/>
    <n v="3584"/>
    <d v="1899-12-30T00:57:36"/>
    <n v="3440.64"/>
    <d v="2020-10-23T00:00:00"/>
    <d v="2020-10-23T00:00:00"/>
    <n v="528"/>
    <n v="5"/>
    <x v="7"/>
    <n v="0.09"/>
    <n v="309.6576"/>
    <n v="3"/>
    <x v="9"/>
  </r>
  <r>
    <n v="529"/>
    <x v="233"/>
    <n v="29"/>
    <s v="Teófilo Otoni"/>
    <x v="3"/>
    <n v="20"/>
    <n v="108"/>
    <n v="2160"/>
    <d v="1899-12-30T00:00:00"/>
    <n v="2160"/>
    <d v="2020-10-31T00:00:00"/>
    <d v="2020-10-31T00:00:00"/>
    <n v="529"/>
    <n v="6"/>
    <x v="7"/>
    <n v="7.0000000000000007E-2"/>
    <n v="151.20000000000002"/>
    <n v="4"/>
    <x v="9"/>
  </r>
  <r>
    <n v="530"/>
    <x v="233"/>
    <n v="56"/>
    <s v="Rio de Janeiro"/>
    <x v="8"/>
    <n v="22"/>
    <n v="101"/>
    <n v="2222"/>
    <d v="1899-12-30T03:36:00"/>
    <n v="1888.7"/>
    <d v="2020-10-24T00:00:00"/>
    <d v="2020-10-24T00:00:00"/>
    <n v="530"/>
    <n v="7"/>
    <x v="6"/>
    <n v="0.06"/>
    <n v="113.322"/>
    <n v="5"/>
    <x v="9"/>
  </r>
  <r>
    <n v="531"/>
    <x v="234"/>
    <n v="22"/>
    <s v="Núcleo Bandeirante"/>
    <x v="1"/>
    <n v="42"/>
    <n v="91"/>
    <n v="3822"/>
    <d v="1899-12-30T02:09:36"/>
    <n v="3478.02"/>
    <d v="2020-11-10T00:00:00"/>
    <d v="2020-11-10T00:00:00"/>
    <n v="531"/>
    <n v="4"/>
    <x v="4"/>
    <n v="7.0000000000000007E-2"/>
    <n v="243.46140000000003"/>
    <n v="6"/>
    <x v="9"/>
  </r>
  <r>
    <n v="532"/>
    <x v="234"/>
    <n v="89"/>
    <s v="Goiânia"/>
    <x v="1"/>
    <n v="48"/>
    <n v="98"/>
    <n v="4704"/>
    <d v="1899-12-30T00:57:36"/>
    <n v="4515.84"/>
    <d v="2020-10-19T00:00:00"/>
    <d v="2020-10-19T00:00:00"/>
    <n v="532"/>
    <n v="3"/>
    <x v="8"/>
    <n v="0.1"/>
    <n v="451.58400000000006"/>
    <n v="7"/>
    <x v="9"/>
  </r>
  <r>
    <n v="533"/>
    <x v="234"/>
    <n v="90"/>
    <s v="Cachoeiro de Itapemirim"/>
    <x v="1"/>
    <n v="42"/>
    <n v="116"/>
    <n v="4872"/>
    <d v="1899-12-30T00:28:48"/>
    <n v="4774.5600000000004"/>
    <d v="2020-11-03T00:00:00"/>
    <d v="2020-11-03T00:00:00"/>
    <n v="533"/>
    <n v="1"/>
    <x v="9"/>
    <n v="0.05"/>
    <n v="238.72800000000004"/>
    <n v="1"/>
    <x v="9"/>
  </r>
  <r>
    <n v="534"/>
    <x v="234"/>
    <n v="77"/>
    <s v="Sorocaba"/>
    <x v="1"/>
    <n v="17"/>
    <n v="113"/>
    <n v="1921"/>
    <d v="1899-12-30T03:07:12"/>
    <n v="1671.27"/>
    <d v="2020-10-31T00:00:00"/>
    <d v="2020-10-31T00:00:00"/>
    <n v="534"/>
    <n v="7"/>
    <x v="4"/>
    <n v="7.0000000000000007E-2"/>
    <n v="116.98890000000002"/>
    <n v="2"/>
    <x v="9"/>
  </r>
  <r>
    <n v="535"/>
    <x v="235"/>
    <n v="13"/>
    <s v="Contagem"/>
    <x v="7"/>
    <n v="19"/>
    <n v="109"/>
    <n v="2071"/>
    <d v="1899-12-30T02:38:24"/>
    <n v="1843.19"/>
    <d v="2020-11-09T00:00:00"/>
    <d v="2020-11-09T00:00:00"/>
    <n v="535"/>
    <n v="5"/>
    <x v="4"/>
    <n v="0.1"/>
    <n v="184.31900000000002"/>
    <n v="3"/>
    <x v="9"/>
  </r>
  <r>
    <n v="536"/>
    <x v="235"/>
    <n v="40"/>
    <s v="Goiânia"/>
    <x v="3"/>
    <n v="12"/>
    <n v="103"/>
    <n v="1236"/>
    <d v="1899-12-30T01:26:24"/>
    <n v="1161.8399999999999"/>
    <d v="2020-11-07T00:00:00"/>
    <d v="2020-11-07T00:00:00"/>
    <n v="536"/>
    <n v="7"/>
    <x v="7"/>
    <n v="0.1"/>
    <n v="116.184"/>
    <n v="4"/>
    <x v="9"/>
  </r>
  <r>
    <n v="537"/>
    <x v="235"/>
    <n v="62"/>
    <s v="São Paulo"/>
    <x v="3"/>
    <n v="15"/>
    <n v="92"/>
    <n v="1380"/>
    <d v="1899-12-30T02:52:48"/>
    <n v="1214.4000000000001"/>
    <d v="2020-11-09T00:00:00"/>
    <d v="2020-11-09T00:00:00"/>
    <n v="537"/>
    <n v="6"/>
    <x v="9"/>
    <n v="0.09"/>
    <n v="109.29600000000001"/>
    <n v="5"/>
    <x v="9"/>
  </r>
  <r>
    <n v="538"/>
    <x v="236"/>
    <n v="39"/>
    <s v="São Paulo"/>
    <x v="9"/>
    <n v="49"/>
    <n v="113"/>
    <n v="5537"/>
    <d v="1899-12-30T02:09:36"/>
    <n v="5038.67"/>
    <d v="2020-10-20T00:00:00"/>
    <d v="2020-10-20T00:00:00"/>
    <n v="538"/>
    <n v="2"/>
    <x v="4"/>
    <n v="0.09"/>
    <n v="453.4803"/>
    <n v="6"/>
    <x v="9"/>
  </r>
  <r>
    <n v="539"/>
    <x v="236"/>
    <n v="76"/>
    <s v="Coronel Fabriciano"/>
    <x v="5"/>
    <n v="15"/>
    <n v="102"/>
    <n v="1530"/>
    <d v="1899-12-30T01:26:24"/>
    <n v="1438.2"/>
    <d v="2020-10-31T00:00:00"/>
    <d v="2020-10-31T00:00:00"/>
    <n v="539"/>
    <n v="2"/>
    <x v="1"/>
    <n v="0.1"/>
    <n v="143.82000000000002"/>
    <n v="7"/>
    <x v="9"/>
  </r>
  <r>
    <n v="540"/>
    <x v="237"/>
    <n v="54"/>
    <s v="São Gonçalo"/>
    <x v="8"/>
    <n v="18"/>
    <n v="94"/>
    <n v="1692"/>
    <d v="1899-12-30T02:52:48"/>
    <n v="1488.96"/>
    <d v="2020-11-01T00:00:00"/>
    <d v="2020-11-01T00:00:00"/>
    <n v="540"/>
    <n v="7"/>
    <x v="6"/>
    <n v="0.06"/>
    <n v="89.337599999999995"/>
    <n v="1"/>
    <x v="9"/>
  </r>
  <r>
    <n v="541"/>
    <x v="237"/>
    <n v="6"/>
    <s v="Jaú"/>
    <x v="6"/>
    <n v="28"/>
    <n v="102"/>
    <n v="2856"/>
    <d v="1899-12-30T01:55:12"/>
    <n v="2627.52"/>
    <d v="2020-11-16T00:00:00"/>
    <d v="2020-11-16T00:00:00"/>
    <n v="541"/>
    <n v="2"/>
    <x v="4"/>
    <n v="7.0000000000000007E-2"/>
    <n v="183.92640000000003"/>
    <n v="2"/>
    <x v="9"/>
  </r>
  <r>
    <n v="542"/>
    <x v="237"/>
    <n v="52"/>
    <s v="São Luís"/>
    <x v="6"/>
    <n v="32"/>
    <n v="97"/>
    <n v="3104"/>
    <d v="1899-12-30T00:00:00"/>
    <n v="3104"/>
    <d v="2020-11-05T00:00:00"/>
    <d v="2020-11-05T00:00:00"/>
    <n v="542"/>
    <n v="5"/>
    <x v="2"/>
    <n v="7.0000000000000007E-2"/>
    <n v="217.28000000000003"/>
    <n v="3"/>
    <x v="9"/>
  </r>
  <r>
    <n v="543"/>
    <x v="237"/>
    <n v="99"/>
    <s v="Foz do Iguaçu"/>
    <x v="5"/>
    <n v="29"/>
    <n v="102"/>
    <n v="2958"/>
    <d v="1899-12-30T03:36:00"/>
    <n v="2514.3000000000002"/>
    <d v="2020-10-26T00:00:00"/>
    <d v="2020-10-26T00:00:00"/>
    <n v="543"/>
    <n v="6"/>
    <x v="8"/>
    <n v="0.09"/>
    <n v="226.28700000000001"/>
    <n v="4"/>
    <x v="9"/>
  </r>
  <r>
    <n v="544"/>
    <x v="238"/>
    <n v="18"/>
    <s v="Bagé"/>
    <x v="2"/>
    <n v="29"/>
    <n v="119"/>
    <n v="3451"/>
    <d v="1899-12-30T02:52:48"/>
    <n v="3036.88"/>
    <d v="2020-11-01T00:00:00"/>
    <d v="2020-11-01T00:00:00"/>
    <n v="544"/>
    <n v="4"/>
    <x v="3"/>
    <n v="0.06"/>
    <n v="182.21279999999999"/>
    <n v="5"/>
    <x v="9"/>
  </r>
  <r>
    <n v="545"/>
    <x v="239"/>
    <n v="22"/>
    <s v="Núcleo Bandeirante"/>
    <x v="2"/>
    <n v="24"/>
    <n v="103"/>
    <n v="2472"/>
    <d v="1899-12-30T01:12:00"/>
    <n v="2348.4"/>
    <d v="2020-11-13T00:00:00"/>
    <d v="2020-11-13T00:00:00"/>
    <n v="545"/>
    <n v="5"/>
    <x v="6"/>
    <n v="0.09"/>
    <n v="211.35599999999999"/>
    <n v="6"/>
    <x v="9"/>
  </r>
  <r>
    <n v="546"/>
    <x v="240"/>
    <n v="62"/>
    <s v="São Paulo"/>
    <x v="1"/>
    <n v="28"/>
    <n v="107"/>
    <n v="2996"/>
    <d v="1899-12-30T00:57:36"/>
    <n v="2876.16"/>
    <d v="2020-11-09T00:00:00"/>
    <d v="2020-11-09T00:00:00"/>
    <n v="546"/>
    <n v="7"/>
    <x v="0"/>
    <n v="0.06"/>
    <n v="172.56959999999998"/>
    <n v="7"/>
    <x v="9"/>
  </r>
  <r>
    <n v="547"/>
    <x v="240"/>
    <n v="39"/>
    <s v="São Paulo"/>
    <x v="4"/>
    <n v="33"/>
    <n v="90"/>
    <n v="2970"/>
    <d v="1899-12-30T01:55:12"/>
    <n v="2732.4"/>
    <d v="2020-10-28T00:00:00"/>
    <d v="2020-10-28T00:00:00"/>
    <n v="547"/>
    <n v="3"/>
    <x v="1"/>
    <n v="0.06"/>
    <n v="163.94399999999999"/>
    <n v="1"/>
    <x v="9"/>
  </r>
  <r>
    <n v="548"/>
    <x v="240"/>
    <n v="66"/>
    <s v="Gurupi"/>
    <x v="3"/>
    <n v="11"/>
    <n v="113"/>
    <n v="1243"/>
    <d v="1899-12-30T01:26:24"/>
    <n v="1168.42"/>
    <d v="2020-10-20T00:00:00"/>
    <d v="2020-10-20T00:00:00"/>
    <n v="548"/>
    <n v="6"/>
    <x v="2"/>
    <n v="0.06"/>
    <n v="70.105199999999996"/>
    <n v="2"/>
    <x v="9"/>
  </r>
  <r>
    <n v="549"/>
    <x v="241"/>
    <n v="42"/>
    <s v="Mauá"/>
    <x v="4"/>
    <n v="36"/>
    <n v="117"/>
    <n v="4212"/>
    <d v="1899-12-30T03:21:36"/>
    <n v="3622.3199999999997"/>
    <d v="2020-10-22T00:00:00"/>
    <d v="2020-10-22T00:00:00"/>
    <n v="549"/>
    <n v="1"/>
    <x v="3"/>
    <n v="7.0000000000000007E-2"/>
    <n v="253.5624"/>
    <n v="3"/>
    <x v="9"/>
  </r>
  <r>
    <n v="550"/>
    <x v="241"/>
    <n v="81"/>
    <s v="Duque de Caxias"/>
    <x v="7"/>
    <n v="26"/>
    <n v="98"/>
    <n v="2548"/>
    <d v="1899-12-30T03:21:36"/>
    <n v="2191.2799999999997"/>
    <d v="2020-11-01T00:00:00"/>
    <d v="2020-11-01T00:00:00"/>
    <n v="550"/>
    <n v="5"/>
    <x v="5"/>
    <n v="0.09"/>
    <n v="197.21519999999998"/>
    <n v="4"/>
    <x v="9"/>
  </r>
  <r>
    <n v="551"/>
    <x v="242"/>
    <n v="42"/>
    <s v="Mauá"/>
    <x v="6"/>
    <n v="24"/>
    <n v="104"/>
    <n v="2496"/>
    <d v="1899-12-30T02:38:24"/>
    <n v="2221.44"/>
    <d v="2020-11-08T00:00:00"/>
    <d v="2020-11-08T00:00:00"/>
    <n v="551"/>
    <n v="4"/>
    <x v="8"/>
    <n v="0.1"/>
    <n v="222.14400000000001"/>
    <n v="5"/>
    <x v="9"/>
  </r>
  <r>
    <n v="552"/>
    <x v="243"/>
    <n v="35"/>
    <s v="São Paulo"/>
    <x v="1"/>
    <n v="41"/>
    <n v="120"/>
    <n v="4920"/>
    <d v="1899-12-30T00:57:36"/>
    <n v="4723.2"/>
    <d v="2020-11-11T00:00:00"/>
    <d v="2020-11-11T00:00:00"/>
    <n v="552"/>
    <n v="5"/>
    <x v="9"/>
    <n v="0.06"/>
    <n v="283.392"/>
    <n v="6"/>
    <x v="9"/>
  </r>
  <r>
    <n v="553"/>
    <x v="243"/>
    <n v="32"/>
    <s v="Vila Velha"/>
    <x v="6"/>
    <n v="15"/>
    <n v="114"/>
    <n v="1710"/>
    <d v="1899-12-30T01:26:24"/>
    <n v="1607.4"/>
    <d v="2020-11-20T00:00:00"/>
    <d v="2020-11-20T00:00:00"/>
    <n v="553"/>
    <n v="7"/>
    <x v="8"/>
    <n v="0.08"/>
    <n v="128.59200000000001"/>
    <n v="7"/>
    <x v="9"/>
  </r>
  <r>
    <n v="554"/>
    <x v="244"/>
    <n v="73"/>
    <s v="São Paulo"/>
    <x v="3"/>
    <n v="14"/>
    <n v="94"/>
    <n v="1316"/>
    <d v="1899-12-30T00:43:12"/>
    <n v="1276.52"/>
    <d v="2020-11-15T00:00:00"/>
    <d v="2020-11-15T00:00:00"/>
    <n v="554"/>
    <n v="2"/>
    <x v="6"/>
    <n v="0.05"/>
    <n v="63.826000000000001"/>
    <n v="1"/>
    <x v="9"/>
  </r>
  <r>
    <n v="555"/>
    <x v="244"/>
    <n v="18"/>
    <s v="Bagé"/>
    <x v="6"/>
    <n v="25"/>
    <n v="98"/>
    <n v="2450"/>
    <d v="1899-12-30T02:24:00"/>
    <n v="2205"/>
    <d v="2020-11-05T00:00:00"/>
    <d v="2020-11-05T00:00:00"/>
    <n v="555"/>
    <n v="7"/>
    <x v="4"/>
    <n v="0.09"/>
    <n v="198.45"/>
    <n v="2"/>
    <x v="9"/>
  </r>
  <r>
    <n v="556"/>
    <x v="245"/>
    <n v="27"/>
    <s v="Praia Grande"/>
    <x v="2"/>
    <n v="43"/>
    <n v="101"/>
    <n v="4343"/>
    <d v="1899-12-30T03:07:12"/>
    <n v="3778.41"/>
    <d v="2020-11-17T00:00:00"/>
    <d v="2020-11-17T00:00:00"/>
    <n v="556"/>
    <n v="2"/>
    <x v="6"/>
    <n v="0.1"/>
    <n v="377.84100000000001"/>
    <n v="3"/>
    <x v="9"/>
  </r>
  <r>
    <n v="557"/>
    <x v="246"/>
    <n v="86"/>
    <s v="Jataí"/>
    <x v="0"/>
    <n v="45"/>
    <n v="108"/>
    <n v="4860"/>
    <d v="1899-12-30T01:26:24"/>
    <n v="4568.3999999999996"/>
    <d v="2020-11-03T00:00:00"/>
    <d v="2020-11-03T00:00:00"/>
    <n v="557"/>
    <n v="3"/>
    <x v="0"/>
    <n v="0.1"/>
    <n v="456.84"/>
    <n v="4"/>
    <x v="9"/>
  </r>
  <r>
    <n v="558"/>
    <x v="246"/>
    <n v="18"/>
    <s v="Bagé"/>
    <x v="6"/>
    <n v="38"/>
    <n v="97"/>
    <n v="3686"/>
    <d v="1899-12-30T02:09:36"/>
    <n v="3354.26"/>
    <d v="2020-11-09T00:00:00"/>
    <d v="2020-11-09T00:00:00"/>
    <n v="558"/>
    <n v="7"/>
    <x v="6"/>
    <n v="7.0000000000000007E-2"/>
    <n v="234.79820000000004"/>
    <n v="5"/>
    <x v="9"/>
  </r>
  <r>
    <n v="559"/>
    <x v="246"/>
    <n v="73"/>
    <s v="São Paulo"/>
    <x v="9"/>
    <n v="31"/>
    <n v="113"/>
    <n v="3503"/>
    <d v="1899-12-30T00:00:00"/>
    <n v="3503"/>
    <d v="2020-11-23T00:00:00"/>
    <d v="2020-11-23T00:00:00"/>
    <n v="559"/>
    <n v="3"/>
    <x v="2"/>
    <n v="0.08"/>
    <n v="280.24"/>
    <n v="6"/>
    <x v="9"/>
  </r>
  <r>
    <n v="560"/>
    <x v="247"/>
    <n v="83"/>
    <s v="Queimados"/>
    <x v="0"/>
    <n v="12"/>
    <n v="114"/>
    <n v="1368"/>
    <d v="1899-12-30T01:55:12"/>
    <n v="1258.56"/>
    <d v="2020-11-26T00:00:00"/>
    <d v="2020-11-26T00:00:00"/>
    <n v="560"/>
    <n v="1"/>
    <x v="4"/>
    <n v="7.0000000000000007E-2"/>
    <n v="88.09920000000001"/>
    <n v="7"/>
    <x v="9"/>
  </r>
  <r>
    <n v="561"/>
    <x v="247"/>
    <n v="93"/>
    <s v="Salvador"/>
    <x v="3"/>
    <n v="40"/>
    <n v="92"/>
    <n v="3680"/>
    <d v="1899-12-30T03:07:12"/>
    <n v="3201.6"/>
    <d v="2020-11-13T00:00:00"/>
    <d v="2020-11-13T00:00:00"/>
    <n v="561"/>
    <n v="5"/>
    <x v="9"/>
    <n v="0.1"/>
    <n v="320.16000000000003"/>
    <n v="1"/>
    <x v="9"/>
  </r>
  <r>
    <n v="562"/>
    <x v="248"/>
    <n v="97"/>
    <s v="Franca"/>
    <x v="3"/>
    <n v="26"/>
    <n v="115"/>
    <n v="2990"/>
    <d v="1899-12-30T02:52:48"/>
    <n v="2631.2"/>
    <d v="2020-11-27T00:00:00"/>
    <d v="2020-11-27T00:00:00"/>
    <n v="562"/>
    <n v="2"/>
    <x v="3"/>
    <n v="0.06"/>
    <n v="157.87199999999999"/>
    <n v="2"/>
    <x v="10"/>
  </r>
  <r>
    <n v="563"/>
    <x v="249"/>
    <n v="57"/>
    <s v="Campinas"/>
    <x v="1"/>
    <n v="20"/>
    <n v="94"/>
    <n v="1880"/>
    <d v="1899-12-30T00:57:36"/>
    <n v="1804.8"/>
    <d v="2020-11-16T00:00:00"/>
    <d v="2020-11-16T00:00:00"/>
    <n v="563"/>
    <n v="5"/>
    <x v="0"/>
    <n v="0.1"/>
    <n v="180.48000000000002"/>
    <n v="3"/>
    <x v="10"/>
  </r>
  <r>
    <n v="564"/>
    <x v="250"/>
    <n v="24"/>
    <s v="Viamão"/>
    <x v="1"/>
    <n v="42"/>
    <n v="101"/>
    <n v="4242"/>
    <d v="1899-12-30T01:55:12"/>
    <n v="3902.64"/>
    <d v="2020-12-01T00:00:00"/>
    <d v="2020-12-01T00:00:00"/>
    <n v="564"/>
    <n v="2"/>
    <x v="4"/>
    <n v="7.0000000000000007E-2"/>
    <n v="273.1848"/>
    <n v="4"/>
    <x v="10"/>
  </r>
  <r>
    <n v="565"/>
    <x v="250"/>
    <n v="34"/>
    <s v="Brusque"/>
    <x v="5"/>
    <n v="24"/>
    <n v="117"/>
    <n v="2808"/>
    <d v="1899-12-30T03:21:36"/>
    <n v="2414.88"/>
    <d v="2020-11-30T00:00:00"/>
    <d v="2020-11-30T00:00:00"/>
    <n v="565"/>
    <n v="6"/>
    <x v="7"/>
    <n v="0.1"/>
    <n v="241.48800000000003"/>
    <n v="5"/>
    <x v="10"/>
  </r>
  <r>
    <n v="566"/>
    <x v="250"/>
    <n v="92"/>
    <s v="Recife"/>
    <x v="5"/>
    <n v="15"/>
    <n v="116"/>
    <n v="1740"/>
    <d v="1899-12-30T00:14:24"/>
    <n v="1722.6"/>
    <d v="2020-11-17T00:00:00"/>
    <d v="2020-11-17T00:00:00"/>
    <n v="566"/>
    <n v="6"/>
    <x v="6"/>
    <n v="0.08"/>
    <n v="137.80799999999999"/>
    <n v="6"/>
    <x v="10"/>
  </r>
  <r>
    <n v="567"/>
    <x v="250"/>
    <n v="25"/>
    <s v="Belém"/>
    <x v="1"/>
    <n v="37"/>
    <n v="95"/>
    <n v="3515"/>
    <d v="1899-12-30T01:12:00"/>
    <n v="3339.25"/>
    <d v="2020-11-29T00:00:00"/>
    <d v="2020-11-29T00:00:00"/>
    <n v="567"/>
    <n v="2"/>
    <x v="9"/>
    <n v="0.1"/>
    <n v="333.92500000000001"/>
    <n v="7"/>
    <x v="10"/>
  </r>
  <r>
    <n v="568"/>
    <x v="251"/>
    <n v="87"/>
    <s v="Fortaleza"/>
    <x v="8"/>
    <n v="19"/>
    <n v="103"/>
    <n v="1957"/>
    <d v="1899-12-30T01:55:12"/>
    <n v="1800.44"/>
    <d v="2020-11-05T00:00:00"/>
    <d v="2020-11-05T00:00:00"/>
    <n v="568"/>
    <n v="5"/>
    <x v="6"/>
    <n v="0.09"/>
    <n v="162.03960000000001"/>
    <n v="1"/>
    <x v="10"/>
  </r>
  <r>
    <n v="569"/>
    <x v="251"/>
    <n v="68"/>
    <s v="Goiânia"/>
    <x v="6"/>
    <n v="46"/>
    <n v="102"/>
    <n v="4692"/>
    <d v="1899-12-30T02:09:36"/>
    <n v="4269.72"/>
    <d v="2020-11-23T00:00:00"/>
    <d v="2020-11-23T00:00:00"/>
    <n v="569"/>
    <n v="5"/>
    <x v="7"/>
    <n v="0.06"/>
    <n v="256.1832"/>
    <n v="2"/>
    <x v="10"/>
  </r>
  <r>
    <n v="570"/>
    <x v="252"/>
    <n v="59"/>
    <s v="Garanhuns"/>
    <x v="4"/>
    <n v="45"/>
    <n v="98"/>
    <n v="4410"/>
    <d v="1899-12-30T01:55:12"/>
    <n v="4057.2"/>
    <d v="2020-12-02T00:00:00"/>
    <d v="2020-12-02T00:00:00"/>
    <n v="570"/>
    <n v="4"/>
    <x v="1"/>
    <n v="7.0000000000000007E-2"/>
    <n v="284.00400000000002"/>
    <n v="3"/>
    <x v="10"/>
  </r>
  <r>
    <n v="571"/>
    <x v="253"/>
    <n v="38"/>
    <s v="Belo Horizonte"/>
    <x v="9"/>
    <n v="40"/>
    <n v="112"/>
    <n v="4480"/>
    <d v="1899-12-30T00:14:24"/>
    <n v="4435.2"/>
    <d v="2020-11-26T00:00:00"/>
    <d v="2020-11-26T00:00:00"/>
    <n v="571"/>
    <n v="7"/>
    <x v="0"/>
    <n v="0.05"/>
    <n v="221.76"/>
    <n v="4"/>
    <x v="10"/>
  </r>
  <r>
    <n v="572"/>
    <x v="254"/>
    <n v="94"/>
    <s v="Goiânia"/>
    <x v="6"/>
    <n v="38"/>
    <n v="99"/>
    <n v="3762"/>
    <d v="1899-12-30T00:00:00"/>
    <n v="3762"/>
    <d v="2020-11-27T00:00:00"/>
    <d v="2020-11-27T00:00:00"/>
    <n v="572"/>
    <n v="6"/>
    <x v="5"/>
    <n v="0.09"/>
    <n v="338.58"/>
    <n v="5"/>
    <x v="10"/>
  </r>
  <r>
    <n v="573"/>
    <x v="255"/>
    <n v="17"/>
    <s v="Rio de Janeiro"/>
    <x v="3"/>
    <n v="32"/>
    <n v="99"/>
    <n v="3168"/>
    <d v="1899-12-30T00:28:48"/>
    <n v="3104.64"/>
    <d v="2020-11-27T00:00:00"/>
    <d v="2020-11-27T00:00:00"/>
    <n v="573"/>
    <n v="6"/>
    <x v="4"/>
    <n v="0.09"/>
    <n v="279.41759999999999"/>
    <n v="6"/>
    <x v="10"/>
  </r>
  <r>
    <n v="574"/>
    <x v="255"/>
    <n v="85"/>
    <s v="Piraquara"/>
    <x v="4"/>
    <n v="31"/>
    <n v="96"/>
    <n v="2976"/>
    <d v="1899-12-30T02:24:00"/>
    <n v="2678.4"/>
    <d v="2020-11-11T00:00:00"/>
    <d v="2020-11-11T00:00:00"/>
    <n v="574"/>
    <n v="5"/>
    <x v="7"/>
    <n v="0.05"/>
    <n v="133.92000000000002"/>
    <n v="7"/>
    <x v="10"/>
  </r>
  <r>
    <n v="575"/>
    <x v="255"/>
    <n v="68"/>
    <s v="Goiânia"/>
    <x v="6"/>
    <n v="47"/>
    <n v="103"/>
    <n v="4841"/>
    <d v="1899-12-30T02:38:24"/>
    <n v="4308.49"/>
    <d v="2020-12-08T00:00:00"/>
    <d v="2020-12-08T00:00:00"/>
    <n v="575"/>
    <n v="6"/>
    <x v="9"/>
    <n v="0.06"/>
    <n v="258.50939999999997"/>
    <n v="1"/>
    <x v="10"/>
  </r>
  <r>
    <n v="576"/>
    <x v="256"/>
    <n v="31"/>
    <s v="Juiz de Fora"/>
    <x v="5"/>
    <n v="45"/>
    <n v="90"/>
    <n v="4050"/>
    <d v="1899-12-30T01:12:00"/>
    <n v="3847.5"/>
    <d v="2020-11-23T00:00:00"/>
    <d v="2020-11-23T00:00:00"/>
    <n v="576"/>
    <n v="1"/>
    <x v="5"/>
    <n v="0.05"/>
    <n v="192.375"/>
    <n v="2"/>
    <x v="10"/>
  </r>
  <r>
    <n v="577"/>
    <x v="257"/>
    <n v="4"/>
    <s v="João Pessoa"/>
    <x v="2"/>
    <n v="14"/>
    <n v="101"/>
    <n v="1414"/>
    <d v="1899-12-30T01:12:00"/>
    <n v="1343.3"/>
    <d v="2020-11-19T00:00:00"/>
    <d v="2020-11-19T00:00:00"/>
    <n v="577"/>
    <n v="5"/>
    <x v="3"/>
    <n v="7.0000000000000007E-2"/>
    <n v="94.031000000000006"/>
    <n v="3"/>
    <x v="10"/>
  </r>
  <r>
    <n v="578"/>
    <x v="257"/>
    <n v="82"/>
    <s v="Rio de Janeiro"/>
    <x v="0"/>
    <n v="25"/>
    <n v="106"/>
    <n v="2650"/>
    <d v="1899-12-30T03:21:36"/>
    <n v="2279"/>
    <d v="2020-12-04T00:00:00"/>
    <d v="2020-12-04T00:00:00"/>
    <n v="578"/>
    <n v="6"/>
    <x v="9"/>
    <n v="0.06"/>
    <n v="136.74"/>
    <n v="4"/>
    <x v="10"/>
  </r>
  <r>
    <n v="579"/>
    <x v="257"/>
    <n v="83"/>
    <s v="Queimados"/>
    <x v="5"/>
    <n v="46"/>
    <n v="105"/>
    <n v="4830"/>
    <d v="1899-12-30T00:00:00"/>
    <n v="4830"/>
    <d v="2020-11-30T00:00:00"/>
    <d v="2020-11-30T00:00:00"/>
    <n v="579"/>
    <n v="6"/>
    <x v="4"/>
    <n v="0.1"/>
    <n v="483"/>
    <n v="5"/>
    <x v="10"/>
  </r>
  <r>
    <n v="580"/>
    <x v="257"/>
    <n v="83"/>
    <s v="Queimados"/>
    <x v="1"/>
    <n v="14"/>
    <n v="117"/>
    <n v="1638"/>
    <d v="1899-12-30T02:52:48"/>
    <n v="1441.44"/>
    <d v="2020-12-06T00:00:00"/>
    <d v="2020-12-06T00:00:00"/>
    <n v="580"/>
    <n v="4"/>
    <x v="2"/>
    <n v="0.09"/>
    <n v="129.7296"/>
    <n v="6"/>
    <x v="10"/>
  </r>
  <r>
    <n v="581"/>
    <x v="258"/>
    <n v="64"/>
    <s v="Juazeiro"/>
    <x v="4"/>
    <n v="23"/>
    <n v="90"/>
    <n v="2070"/>
    <d v="1899-12-30T00:00:00"/>
    <n v="2070"/>
    <d v="2020-11-13T00:00:00"/>
    <d v="2020-11-13T00:00:00"/>
    <n v="581"/>
    <n v="2"/>
    <x v="4"/>
    <n v="0.09"/>
    <n v="186.29999999999998"/>
    <n v="7"/>
    <x v="10"/>
  </r>
  <r>
    <n v="582"/>
    <x v="258"/>
    <n v="76"/>
    <s v="Coronel Fabriciano"/>
    <x v="1"/>
    <n v="24"/>
    <n v="94"/>
    <n v="2256"/>
    <d v="1899-12-30T03:21:36"/>
    <n v="1940.1599999999999"/>
    <d v="2020-11-30T00:00:00"/>
    <d v="2020-11-30T00:00:00"/>
    <n v="582"/>
    <n v="4"/>
    <x v="6"/>
    <n v="0.06"/>
    <n v="116.40959999999998"/>
    <n v="1"/>
    <x v="10"/>
  </r>
  <r>
    <n v="583"/>
    <x v="258"/>
    <n v="57"/>
    <s v="Campinas"/>
    <x v="0"/>
    <n v="45"/>
    <n v="92"/>
    <n v="4140"/>
    <d v="1899-12-30T00:28:48"/>
    <n v="4057.2"/>
    <d v="2020-11-16T00:00:00"/>
    <d v="2020-11-16T00:00:00"/>
    <n v="583"/>
    <n v="2"/>
    <x v="4"/>
    <n v="7.0000000000000007E-2"/>
    <n v="284.00400000000002"/>
    <n v="2"/>
    <x v="10"/>
  </r>
  <r>
    <n v="584"/>
    <x v="258"/>
    <n v="62"/>
    <s v="São Paulo"/>
    <x v="1"/>
    <n v="31"/>
    <n v="100"/>
    <n v="3100"/>
    <d v="1899-12-30T01:55:12"/>
    <n v="2852"/>
    <d v="2020-11-15T00:00:00"/>
    <d v="2020-11-15T00:00:00"/>
    <n v="584"/>
    <n v="6"/>
    <x v="7"/>
    <n v="0.06"/>
    <n v="171.12"/>
    <n v="3"/>
    <x v="10"/>
  </r>
  <r>
    <n v="585"/>
    <x v="259"/>
    <n v="73"/>
    <s v="São Paulo"/>
    <x v="6"/>
    <n v="40"/>
    <n v="116"/>
    <n v="4640"/>
    <d v="1899-12-30T01:55:12"/>
    <n v="4268.8"/>
    <d v="2020-12-03T00:00:00"/>
    <d v="2020-12-03T00:00:00"/>
    <n v="585"/>
    <n v="3"/>
    <x v="7"/>
    <n v="7.0000000000000007E-2"/>
    <n v="298.81600000000003"/>
    <n v="4"/>
    <x v="10"/>
  </r>
  <r>
    <n v="586"/>
    <x v="259"/>
    <n v="27"/>
    <s v="Praia Grande"/>
    <x v="3"/>
    <n v="10"/>
    <n v="114"/>
    <n v="1140"/>
    <d v="1899-12-30T02:38:24"/>
    <n v="1014.6"/>
    <d v="2020-11-18T00:00:00"/>
    <d v="2020-11-18T00:00:00"/>
    <n v="586"/>
    <n v="4"/>
    <x v="4"/>
    <n v="7.0000000000000007E-2"/>
    <n v="71.022000000000006"/>
    <n v="5"/>
    <x v="10"/>
  </r>
  <r>
    <n v="587"/>
    <x v="259"/>
    <n v="70"/>
    <s v="Rio de Janeiro"/>
    <x v="3"/>
    <n v="22"/>
    <n v="112"/>
    <n v="2464"/>
    <d v="1899-12-30T00:28:48"/>
    <n v="2414.7199999999998"/>
    <d v="2020-11-15T00:00:00"/>
    <d v="2020-11-15T00:00:00"/>
    <n v="587"/>
    <n v="6"/>
    <x v="4"/>
    <n v="0.1"/>
    <n v="241.47199999999998"/>
    <n v="6"/>
    <x v="10"/>
  </r>
  <r>
    <n v="588"/>
    <x v="259"/>
    <n v="39"/>
    <s v="São Paulo"/>
    <x v="9"/>
    <n v="37"/>
    <n v="116"/>
    <n v="4292"/>
    <d v="1899-12-30T03:36:00"/>
    <n v="3648.2"/>
    <d v="2020-11-12T00:00:00"/>
    <d v="2020-11-12T00:00:00"/>
    <n v="588"/>
    <n v="2"/>
    <x v="6"/>
    <n v="0.08"/>
    <n v="291.85599999999999"/>
    <n v="7"/>
    <x v="10"/>
  </r>
  <r>
    <n v="589"/>
    <x v="260"/>
    <n v="90"/>
    <s v="Cachoeiro de Itapemirim"/>
    <x v="2"/>
    <n v="34"/>
    <n v="116"/>
    <n v="3944"/>
    <d v="1899-12-30T03:07:12"/>
    <n v="3431.2799999999997"/>
    <d v="2020-11-21T00:00:00"/>
    <d v="2020-11-21T00:00:00"/>
    <n v="589"/>
    <n v="6"/>
    <x v="6"/>
    <n v="0.1"/>
    <n v="343.12799999999999"/>
    <n v="1"/>
    <x v="10"/>
  </r>
  <r>
    <n v="590"/>
    <x v="261"/>
    <n v="40"/>
    <s v="Goiânia"/>
    <x v="5"/>
    <n v="40"/>
    <n v="115"/>
    <n v="4600"/>
    <d v="1899-12-30T01:40:48"/>
    <n v="4278"/>
    <d v="2020-11-24T00:00:00"/>
    <d v="2020-11-24T00:00:00"/>
    <n v="590"/>
    <n v="2"/>
    <x v="5"/>
    <n v="0.1"/>
    <n v="427.8"/>
    <n v="2"/>
    <x v="10"/>
  </r>
  <r>
    <n v="591"/>
    <x v="261"/>
    <n v="88"/>
    <s v="São Paulo"/>
    <x v="7"/>
    <n v="42"/>
    <n v="96"/>
    <n v="4032"/>
    <d v="1899-12-30T01:55:12"/>
    <n v="3709.44"/>
    <d v="2020-11-30T00:00:00"/>
    <d v="2020-11-30T00:00:00"/>
    <n v="591"/>
    <n v="3"/>
    <x v="0"/>
    <n v="0.08"/>
    <n v="296.7552"/>
    <n v="3"/>
    <x v="10"/>
  </r>
  <r>
    <n v="592"/>
    <x v="262"/>
    <n v="41"/>
    <s v="São João Del Rei"/>
    <x v="5"/>
    <n v="47"/>
    <n v="92"/>
    <n v="4324"/>
    <d v="1899-12-30T03:36:00"/>
    <n v="3675.4"/>
    <d v="2020-11-30T00:00:00"/>
    <d v="2020-11-30T00:00:00"/>
    <n v="592"/>
    <n v="5"/>
    <x v="5"/>
    <n v="0.1"/>
    <n v="367.54"/>
    <n v="4"/>
    <x v="10"/>
  </r>
  <r>
    <n v="593"/>
    <x v="262"/>
    <n v="92"/>
    <s v="Recife"/>
    <x v="5"/>
    <n v="30"/>
    <n v="116"/>
    <n v="3480"/>
    <d v="1899-12-30T00:14:24"/>
    <n v="3445.2"/>
    <d v="2020-11-27T00:00:00"/>
    <d v="2020-11-27T00:00:00"/>
    <n v="593"/>
    <n v="4"/>
    <x v="1"/>
    <n v="0.06"/>
    <n v="206.71199999999999"/>
    <n v="5"/>
    <x v="10"/>
  </r>
  <r>
    <n v="594"/>
    <x v="263"/>
    <n v="84"/>
    <s v="Manaus"/>
    <x v="2"/>
    <n v="42"/>
    <n v="100"/>
    <n v="4200"/>
    <d v="1899-12-30T01:12:00"/>
    <n v="3990"/>
    <d v="2020-12-05T00:00:00"/>
    <d v="2020-12-05T00:00:00"/>
    <n v="594"/>
    <n v="7"/>
    <x v="9"/>
    <n v="7.0000000000000007E-2"/>
    <n v="279.3"/>
    <n v="6"/>
    <x v="10"/>
  </r>
  <r>
    <n v="595"/>
    <x v="264"/>
    <n v="8"/>
    <s v="São Paulo"/>
    <x v="9"/>
    <n v="11"/>
    <n v="118"/>
    <n v="1298"/>
    <d v="1899-12-30T02:38:24"/>
    <n v="1155.22"/>
    <d v="2020-11-20T00:00:00"/>
    <d v="2020-11-20T00:00:00"/>
    <n v="595"/>
    <n v="5"/>
    <x v="4"/>
    <n v="0.05"/>
    <n v="57.761000000000003"/>
    <n v="7"/>
    <x v="10"/>
  </r>
  <r>
    <n v="596"/>
    <x v="264"/>
    <n v="76"/>
    <s v="Coronel Fabriciano"/>
    <x v="2"/>
    <n v="35"/>
    <n v="105"/>
    <n v="3675"/>
    <d v="1899-12-30T00:57:36"/>
    <n v="3528"/>
    <d v="2020-12-18T00:00:00"/>
    <d v="2020-12-18T00:00:00"/>
    <n v="596"/>
    <n v="4"/>
    <x v="0"/>
    <n v="0.05"/>
    <n v="176.4"/>
    <n v="1"/>
    <x v="10"/>
  </r>
  <r>
    <n v="597"/>
    <x v="265"/>
    <n v="29"/>
    <s v="Teófilo Otoni"/>
    <x v="2"/>
    <n v="14"/>
    <n v="120"/>
    <n v="1680"/>
    <d v="1899-12-30T01:55:12"/>
    <n v="1545.6"/>
    <d v="2020-12-16T00:00:00"/>
    <d v="2020-12-16T00:00:00"/>
    <n v="597"/>
    <n v="7"/>
    <x v="3"/>
    <n v="0.08"/>
    <n v="123.648"/>
    <n v="2"/>
    <x v="10"/>
  </r>
  <r>
    <n v="598"/>
    <x v="266"/>
    <n v="57"/>
    <s v="Campinas"/>
    <x v="3"/>
    <n v="33"/>
    <n v="95"/>
    <n v="3135"/>
    <d v="1899-12-30T02:24:00"/>
    <n v="2821.5"/>
    <d v="2020-12-08T00:00:00"/>
    <d v="2020-12-08T00:00:00"/>
    <n v="598"/>
    <n v="3"/>
    <x v="8"/>
    <n v="0.09"/>
    <n v="253.935"/>
    <n v="3"/>
    <x v="10"/>
  </r>
  <r>
    <n v="599"/>
    <x v="267"/>
    <n v="88"/>
    <s v="São Paulo"/>
    <x v="4"/>
    <n v="10"/>
    <n v="113"/>
    <n v="1130"/>
    <d v="1899-12-30T02:24:00"/>
    <n v="1017"/>
    <d v="2020-12-18T00:00:00"/>
    <d v="2020-12-18T00:00:00"/>
    <n v="599"/>
    <n v="7"/>
    <x v="2"/>
    <n v="0.06"/>
    <n v="61.019999999999996"/>
    <n v="4"/>
    <x v="10"/>
  </r>
  <r>
    <n v="600"/>
    <x v="267"/>
    <n v="12"/>
    <s v="São José do Rio Preto"/>
    <x v="2"/>
    <n v="46"/>
    <n v="113"/>
    <n v="5198"/>
    <d v="1899-12-30T03:21:36"/>
    <n v="4470.28"/>
    <d v="2020-12-20T00:00:00"/>
    <d v="2020-12-20T00:00:00"/>
    <n v="600"/>
    <n v="6"/>
    <x v="3"/>
    <n v="0.09"/>
    <n v="402.32519999999994"/>
    <n v="5"/>
    <x v="10"/>
  </r>
  <r>
    <n v="601"/>
    <x v="268"/>
    <n v="30"/>
    <s v="Vitória da Conquista"/>
    <x v="3"/>
    <n v="15"/>
    <n v="104"/>
    <n v="1560"/>
    <d v="1899-12-30T01:55:12"/>
    <n v="1435.2"/>
    <d v="2020-12-05T00:00:00"/>
    <d v="2020-12-05T00:00:00"/>
    <n v="601"/>
    <n v="4"/>
    <x v="9"/>
    <n v="0.08"/>
    <n v="114.816"/>
    <n v="6"/>
    <x v="10"/>
  </r>
  <r>
    <n v="602"/>
    <x v="268"/>
    <n v="92"/>
    <s v="Recife"/>
    <x v="2"/>
    <n v="26"/>
    <n v="120"/>
    <n v="3120"/>
    <d v="1899-12-30T00:00:00"/>
    <n v="3120"/>
    <d v="2020-12-16T00:00:00"/>
    <d v="2020-12-16T00:00:00"/>
    <n v="602"/>
    <n v="2"/>
    <x v="4"/>
    <n v="7.0000000000000007E-2"/>
    <n v="218.40000000000003"/>
    <n v="7"/>
    <x v="10"/>
  </r>
  <r>
    <n v="603"/>
    <x v="269"/>
    <n v="100"/>
    <s v="São Paulo"/>
    <x v="2"/>
    <n v="23"/>
    <n v="101"/>
    <n v="2323"/>
    <d v="1899-12-30T00:00:00"/>
    <n v="2323"/>
    <d v="2020-12-14T00:00:00"/>
    <d v="2020-12-14T00:00:00"/>
    <n v="603"/>
    <n v="6"/>
    <x v="0"/>
    <n v="0.08"/>
    <n v="185.84"/>
    <n v="1"/>
    <x v="10"/>
  </r>
  <r>
    <n v="604"/>
    <x v="270"/>
    <n v="1"/>
    <s v="Santos"/>
    <x v="4"/>
    <n v="45"/>
    <n v="104"/>
    <n v="4680"/>
    <d v="1899-12-30T02:24:00"/>
    <n v="4212"/>
    <d v="2020-11-26T00:00:00"/>
    <d v="2020-11-26T00:00:00"/>
    <n v="604"/>
    <n v="4"/>
    <x v="3"/>
    <n v="0.06"/>
    <n v="252.72"/>
    <n v="2"/>
    <x v="10"/>
  </r>
  <r>
    <n v="605"/>
    <x v="270"/>
    <n v="82"/>
    <s v="Rio de Janeiro"/>
    <x v="0"/>
    <n v="13"/>
    <n v="90"/>
    <n v="1170"/>
    <d v="1899-12-30T02:38:24"/>
    <n v="1041.3"/>
    <d v="2020-11-26T00:00:00"/>
    <d v="2020-11-26T00:00:00"/>
    <n v="605"/>
    <n v="4"/>
    <x v="8"/>
    <n v="7.0000000000000007E-2"/>
    <n v="72.891000000000005"/>
    <n v="3"/>
    <x v="10"/>
  </r>
  <r>
    <n v="606"/>
    <x v="271"/>
    <n v="80"/>
    <s v="São Paulo"/>
    <x v="0"/>
    <n v="28"/>
    <n v="117"/>
    <n v="3276"/>
    <d v="1899-12-30T02:38:24"/>
    <n v="2915.64"/>
    <d v="2020-11-30T00:00:00"/>
    <d v="2020-11-30T00:00:00"/>
    <n v="606"/>
    <n v="4"/>
    <x v="6"/>
    <n v="7.0000000000000007E-2"/>
    <n v="204.09480000000002"/>
    <n v="4"/>
    <x v="10"/>
  </r>
  <r>
    <n v="607"/>
    <x v="271"/>
    <n v="39"/>
    <s v="São Paulo"/>
    <x v="6"/>
    <n v="21"/>
    <n v="104"/>
    <n v="2184"/>
    <d v="1899-12-30T03:21:36"/>
    <n v="1878.24"/>
    <d v="2020-12-03T00:00:00"/>
    <d v="2020-12-03T00:00:00"/>
    <n v="607"/>
    <n v="2"/>
    <x v="9"/>
    <n v="0.1"/>
    <n v="187.82400000000001"/>
    <n v="5"/>
    <x v="10"/>
  </r>
  <r>
    <n v="608"/>
    <x v="271"/>
    <n v="63"/>
    <s v="Catanduva"/>
    <x v="2"/>
    <n v="18"/>
    <n v="110"/>
    <n v="1980"/>
    <d v="1899-12-30T02:24:00"/>
    <n v="1782"/>
    <d v="2020-12-08T00:00:00"/>
    <d v="2020-12-08T00:00:00"/>
    <n v="608"/>
    <n v="5"/>
    <x v="9"/>
    <n v="0.1"/>
    <n v="178.20000000000002"/>
    <n v="6"/>
    <x v="10"/>
  </r>
  <r>
    <n v="609"/>
    <x v="272"/>
    <n v="34"/>
    <s v="Brusque"/>
    <x v="3"/>
    <n v="29"/>
    <n v="103"/>
    <n v="2987"/>
    <d v="1899-12-30T02:09:36"/>
    <n v="2718.17"/>
    <d v="2020-12-14T00:00:00"/>
    <d v="2020-12-14T00:00:00"/>
    <n v="609"/>
    <n v="1"/>
    <x v="7"/>
    <n v="0.08"/>
    <n v="217.45360000000002"/>
    <n v="7"/>
    <x v="10"/>
  </r>
  <r>
    <n v="610"/>
    <x v="272"/>
    <n v="50"/>
    <s v="Patos de Minas"/>
    <x v="4"/>
    <n v="41"/>
    <n v="118"/>
    <n v="4838"/>
    <d v="1899-12-30T03:07:12"/>
    <n v="4209.0599999999995"/>
    <d v="2020-12-18T00:00:00"/>
    <d v="2020-12-18T00:00:00"/>
    <n v="610"/>
    <n v="4"/>
    <x v="9"/>
    <n v="0.05"/>
    <n v="210.45299999999997"/>
    <n v="1"/>
    <x v="10"/>
  </r>
  <r>
    <n v="611"/>
    <x v="273"/>
    <n v="56"/>
    <s v="Rio de Janeiro"/>
    <x v="7"/>
    <n v="36"/>
    <n v="109"/>
    <n v="3924"/>
    <d v="1899-12-30T01:12:00"/>
    <n v="3727.8"/>
    <d v="2020-12-12T00:00:00"/>
    <d v="2020-12-12T00:00:00"/>
    <n v="611"/>
    <n v="4"/>
    <x v="5"/>
    <n v="0.1"/>
    <n v="372.78000000000003"/>
    <n v="2"/>
    <x v="10"/>
  </r>
  <r>
    <n v="612"/>
    <x v="274"/>
    <n v="72"/>
    <s v="São Paulo"/>
    <x v="1"/>
    <n v="18"/>
    <n v="99"/>
    <n v="1782"/>
    <d v="1899-12-30T00:28:48"/>
    <n v="1746.36"/>
    <d v="2020-12-03T00:00:00"/>
    <d v="2020-12-03T00:00:00"/>
    <n v="612"/>
    <n v="4"/>
    <x v="3"/>
    <n v="0.09"/>
    <n v="157.17239999999998"/>
    <n v="3"/>
    <x v="11"/>
  </r>
  <r>
    <n v="613"/>
    <x v="274"/>
    <n v="11"/>
    <s v="Cachoeiro de Itapemirim"/>
    <x v="2"/>
    <n v="38"/>
    <n v="115"/>
    <n v="4370"/>
    <d v="1899-12-30T02:52:48"/>
    <n v="3845.6"/>
    <d v="2020-12-25T00:00:00"/>
    <d v="2020-12-25T00:00:00"/>
    <n v="613"/>
    <n v="6"/>
    <x v="9"/>
    <n v="0.06"/>
    <n v="230.73599999999999"/>
    <n v="4"/>
    <x v="11"/>
  </r>
  <r>
    <n v="614"/>
    <x v="274"/>
    <n v="21"/>
    <s v="Vitória"/>
    <x v="1"/>
    <n v="21"/>
    <n v="95"/>
    <n v="1995"/>
    <d v="1899-12-30T00:00:00"/>
    <n v="1995"/>
    <d v="2020-12-30T00:00:00"/>
    <d v="2020-12-30T00:00:00"/>
    <n v="614"/>
    <n v="7"/>
    <x v="8"/>
    <n v="0.1"/>
    <n v="199.5"/>
    <n v="5"/>
    <x v="11"/>
  </r>
  <r>
    <n v="615"/>
    <x v="274"/>
    <n v="15"/>
    <s v="Vila Velha"/>
    <x v="3"/>
    <n v="36"/>
    <n v="113"/>
    <n v="4068"/>
    <d v="1899-12-30T02:24:00"/>
    <n v="3661.2"/>
    <d v="2020-12-27T00:00:00"/>
    <d v="2020-12-27T00:00:00"/>
    <n v="615"/>
    <n v="7"/>
    <x v="0"/>
    <n v="0.06"/>
    <n v="219.67199999999997"/>
    <n v="6"/>
    <x v="11"/>
  </r>
  <r>
    <n v="616"/>
    <x v="274"/>
    <n v="64"/>
    <s v="Juazeiro"/>
    <x v="6"/>
    <n v="16"/>
    <n v="103"/>
    <n v="1648"/>
    <d v="1899-12-30T03:36:00"/>
    <n v="1400.8"/>
    <d v="2020-12-25T00:00:00"/>
    <d v="2020-12-25T00:00:00"/>
    <n v="616"/>
    <n v="4"/>
    <x v="7"/>
    <n v="0.05"/>
    <n v="70.040000000000006"/>
    <n v="7"/>
    <x v="11"/>
  </r>
  <r>
    <n v="617"/>
    <x v="274"/>
    <n v="95"/>
    <s v="São Paulo"/>
    <x v="0"/>
    <n v="35"/>
    <n v="110"/>
    <n v="3850"/>
    <d v="1899-12-30T00:43:12"/>
    <n v="3734.5"/>
    <d v="2020-12-07T00:00:00"/>
    <d v="2020-12-07T00:00:00"/>
    <n v="617"/>
    <n v="1"/>
    <x v="3"/>
    <n v="0.1"/>
    <n v="373.45000000000005"/>
    <n v="1"/>
    <x v="11"/>
  </r>
  <r>
    <n v="618"/>
    <x v="275"/>
    <n v="33"/>
    <s v="Ituiutaba"/>
    <x v="6"/>
    <n v="16"/>
    <n v="100"/>
    <n v="1600"/>
    <d v="1899-12-30T00:43:12"/>
    <n v="1552"/>
    <d v="2020-12-03T00:00:00"/>
    <d v="2020-12-03T00:00:00"/>
    <n v="618"/>
    <n v="6"/>
    <x v="6"/>
    <n v="0.08"/>
    <n v="124.16"/>
    <n v="2"/>
    <x v="11"/>
  </r>
  <r>
    <n v="619"/>
    <x v="275"/>
    <n v="18"/>
    <s v="Bagé"/>
    <x v="1"/>
    <n v="28"/>
    <n v="96"/>
    <n v="2688"/>
    <d v="1899-12-30T00:57:36"/>
    <n v="2580.48"/>
    <d v="2020-12-13T00:00:00"/>
    <d v="2020-12-13T00:00:00"/>
    <n v="619"/>
    <n v="4"/>
    <x v="5"/>
    <n v="0.06"/>
    <n v="154.8288"/>
    <n v="3"/>
    <x v="11"/>
  </r>
  <r>
    <n v="620"/>
    <x v="275"/>
    <n v="29"/>
    <s v="Teófilo Otoni"/>
    <x v="9"/>
    <n v="22"/>
    <n v="92"/>
    <n v="2024"/>
    <d v="1899-12-30T03:07:12"/>
    <n v="1760.88"/>
    <d v="2020-12-21T00:00:00"/>
    <d v="2020-12-21T00:00:00"/>
    <n v="620"/>
    <n v="5"/>
    <x v="8"/>
    <n v="0.08"/>
    <n v="140.87040000000002"/>
    <n v="4"/>
    <x v="11"/>
  </r>
  <r>
    <n v="621"/>
    <x v="275"/>
    <n v="75"/>
    <s v="São Paulo"/>
    <x v="8"/>
    <n v="19"/>
    <n v="112"/>
    <n v="2128"/>
    <d v="1899-12-30T00:57:36"/>
    <n v="2042.88"/>
    <d v="2020-12-30T00:00:00"/>
    <d v="2020-12-30T00:00:00"/>
    <n v="621"/>
    <n v="6"/>
    <x v="1"/>
    <n v="0.05"/>
    <n v="102.14400000000001"/>
    <n v="5"/>
    <x v="11"/>
  </r>
  <r>
    <n v="622"/>
    <x v="276"/>
    <n v="26"/>
    <s v="Araçatuba"/>
    <x v="2"/>
    <n v="38"/>
    <n v="90"/>
    <n v="3420"/>
    <d v="1899-12-30T03:36:00"/>
    <n v="2907"/>
    <d v="2020-12-15T00:00:00"/>
    <d v="2020-12-15T00:00:00"/>
    <n v="622"/>
    <n v="3"/>
    <x v="8"/>
    <n v="0.06"/>
    <n v="174.42"/>
    <n v="6"/>
    <x v="11"/>
  </r>
  <r>
    <n v="623"/>
    <x v="276"/>
    <n v="49"/>
    <s v="São Paulo"/>
    <x v="0"/>
    <n v="32"/>
    <n v="96"/>
    <n v="3072"/>
    <d v="1899-12-30T03:36:00"/>
    <n v="2611.1999999999998"/>
    <d v="2020-12-13T00:00:00"/>
    <d v="2020-12-13T00:00:00"/>
    <n v="623"/>
    <n v="4"/>
    <x v="5"/>
    <n v="0.08"/>
    <n v="208.89599999999999"/>
    <n v="7"/>
    <x v="11"/>
  </r>
  <r>
    <n v="624"/>
    <x v="276"/>
    <n v="83"/>
    <s v="Queimados"/>
    <x v="7"/>
    <n v="19"/>
    <n v="106"/>
    <n v="2014"/>
    <d v="1899-12-30T03:36:00"/>
    <n v="1711.9"/>
    <d v="2020-12-07T00:00:00"/>
    <d v="2020-12-07T00:00:00"/>
    <n v="624"/>
    <n v="5"/>
    <x v="4"/>
    <n v="0.06"/>
    <n v="102.714"/>
    <n v="1"/>
    <x v="11"/>
  </r>
  <r>
    <n v="625"/>
    <x v="276"/>
    <n v="21"/>
    <s v="Vitória"/>
    <x v="5"/>
    <n v="27"/>
    <n v="104"/>
    <n v="2808"/>
    <d v="1899-12-30T03:21:36"/>
    <n v="2414.88"/>
    <d v="2020-12-06T00:00:00"/>
    <d v="2020-12-06T00:00:00"/>
    <n v="625"/>
    <n v="2"/>
    <x v="1"/>
    <n v="0.1"/>
    <n v="241.48800000000003"/>
    <n v="2"/>
    <x v="11"/>
  </r>
  <r>
    <n v="626"/>
    <x v="277"/>
    <n v="59"/>
    <s v="Garanhuns"/>
    <x v="1"/>
    <n v="42"/>
    <n v="110"/>
    <n v="4620"/>
    <d v="1899-12-30T02:24:00"/>
    <n v="4158"/>
    <d v="2020-12-22T00:00:00"/>
    <d v="2020-12-22T00:00:00"/>
    <n v="626"/>
    <n v="6"/>
    <x v="7"/>
    <n v="0.05"/>
    <n v="207.9"/>
    <n v="3"/>
    <x v="11"/>
  </r>
  <r>
    <n v="627"/>
    <x v="278"/>
    <n v="6"/>
    <s v="Jaú"/>
    <x v="3"/>
    <n v="48"/>
    <n v="99"/>
    <n v="4752"/>
    <d v="1899-12-30T01:55:12"/>
    <n v="4371.84"/>
    <d v="2020-12-18T00:00:00"/>
    <d v="2020-12-18T00:00:00"/>
    <n v="627"/>
    <n v="5"/>
    <x v="1"/>
    <n v="0.1"/>
    <n v="437.18400000000003"/>
    <n v="4"/>
    <x v="11"/>
  </r>
  <r>
    <n v="628"/>
    <x v="278"/>
    <n v="90"/>
    <s v="Cachoeiro de Itapemirim"/>
    <x v="7"/>
    <n v="24"/>
    <n v="96"/>
    <n v="2304"/>
    <d v="1899-12-30T02:24:00"/>
    <n v="2073.6"/>
    <d v="2020-12-22T00:00:00"/>
    <d v="2020-12-22T00:00:00"/>
    <n v="628"/>
    <n v="1"/>
    <x v="2"/>
    <n v="0.09"/>
    <n v="186.624"/>
    <n v="5"/>
    <x v="11"/>
  </r>
  <r>
    <n v="629"/>
    <x v="279"/>
    <n v="44"/>
    <s v="Atibaia"/>
    <x v="0"/>
    <n v="47"/>
    <n v="109"/>
    <n v="5123"/>
    <d v="1899-12-30T01:12:00"/>
    <n v="4866.8500000000004"/>
    <d v="2021-01-02T00:00:00"/>
    <d v="2021-01-02T00:00:00"/>
    <n v="629"/>
    <n v="5"/>
    <x v="8"/>
    <n v="0.05"/>
    <n v="243.34250000000003"/>
    <n v="6"/>
    <x v="11"/>
  </r>
  <r>
    <n v="630"/>
    <x v="279"/>
    <n v="77"/>
    <s v="Sorocaba"/>
    <x v="9"/>
    <n v="42"/>
    <n v="102"/>
    <n v="4284"/>
    <d v="1899-12-30T03:21:36"/>
    <n v="3684.24"/>
    <d v="2020-12-20T00:00:00"/>
    <d v="2020-12-20T00:00:00"/>
    <n v="630"/>
    <n v="2"/>
    <x v="1"/>
    <n v="0.06"/>
    <n v="221.05439999999999"/>
    <n v="7"/>
    <x v="11"/>
  </r>
  <r>
    <n v="631"/>
    <x v="279"/>
    <n v="4"/>
    <s v="João Pessoa"/>
    <x v="8"/>
    <n v="35"/>
    <n v="115"/>
    <n v="4025"/>
    <d v="1899-12-30T02:52:48"/>
    <n v="3542"/>
    <d v="2020-12-21T00:00:00"/>
    <d v="2020-12-21T00:00:00"/>
    <n v="631"/>
    <n v="3"/>
    <x v="3"/>
    <n v="0.06"/>
    <n v="212.51999999999998"/>
    <n v="1"/>
    <x v="11"/>
  </r>
  <r>
    <n v="632"/>
    <x v="280"/>
    <n v="43"/>
    <s v="Dourados"/>
    <x v="2"/>
    <n v="39"/>
    <n v="118"/>
    <n v="4602"/>
    <d v="1899-12-30T02:52:48"/>
    <n v="4049.76"/>
    <d v="2021-01-01T00:00:00"/>
    <d v="2021-01-01T00:00:00"/>
    <n v="632"/>
    <n v="3"/>
    <x v="3"/>
    <n v="7.0000000000000007E-2"/>
    <n v="283.48320000000007"/>
    <n v="2"/>
    <x v="11"/>
  </r>
  <r>
    <n v="633"/>
    <x v="280"/>
    <n v="63"/>
    <s v="Catanduva"/>
    <x v="8"/>
    <n v="32"/>
    <n v="108"/>
    <n v="3456"/>
    <d v="1899-12-30T02:38:24"/>
    <n v="3075.84"/>
    <d v="2021-01-04T00:00:00"/>
    <d v="2021-01-04T00:00:00"/>
    <n v="633"/>
    <n v="4"/>
    <x v="7"/>
    <n v="0.08"/>
    <n v="246.06720000000001"/>
    <n v="3"/>
    <x v="11"/>
  </r>
  <r>
    <n v="634"/>
    <x v="281"/>
    <n v="2"/>
    <s v="Laranjeiras do Sul"/>
    <x v="6"/>
    <n v="15"/>
    <n v="117"/>
    <n v="1755"/>
    <d v="1899-12-30T01:55:12"/>
    <n v="1614.6"/>
    <d v="2021-01-01T00:00:00"/>
    <d v="2021-01-01T00:00:00"/>
    <n v="634"/>
    <n v="4"/>
    <x v="9"/>
    <n v="7.0000000000000007E-2"/>
    <n v="113.02200000000001"/>
    <n v="4"/>
    <x v="11"/>
  </r>
  <r>
    <n v="635"/>
    <x v="281"/>
    <n v="93"/>
    <s v="Salvador"/>
    <x v="2"/>
    <n v="45"/>
    <n v="100"/>
    <n v="4500"/>
    <d v="1899-12-30T00:28:48"/>
    <n v="4410"/>
    <d v="2021-01-02T00:00:00"/>
    <d v="2021-01-02T00:00:00"/>
    <n v="635"/>
    <n v="6"/>
    <x v="2"/>
    <n v="0.09"/>
    <n v="396.9"/>
    <n v="5"/>
    <x v="11"/>
  </r>
  <r>
    <n v="636"/>
    <x v="282"/>
    <n v="11"/>
    <s v="Cachoeiro de Itapemirim"/>
    <x v="9"/>
    <n v="34"/>
    <n v="103"/>
    <n v="3502"/>
    <d v="1899-12-30T00:28:48"/>
    <n v="3431.96"/>
    <d v="2020-12-22T00:00:00"/>
    <d v="2020-12-22T00:00:00"/>
    <n v="636"/>
    <n v="7"/>
    <x v="4"/>
    <n v="0.09"/>
    <n v="308.87639999999999"/>
    <n v="6"/>
    <x v="11"/>
  </r>
  <r>
    <n v="637"/>
    <x v="283"/>
    <n v="64"/>
    <s v="Juazeiro"/>
    <x v="1"/>
    <n v="13"/>
    <n v="101"/>
    <n v="1313"/>
    <d v="1899-12-30T02:52:48"/>
    <n v="1155.44"/>
    <d v="2021-01-07T00:00:00"/>
    <d v="2021-01-07T00:00:00"/>
    <n v="637"/>
    <n v="7"/>
    <x v="5"/>
    <n v="7.0000000000000007E-2"/>
    <n v="80.880800000000008"/>
    <n v="7"/>
    <x v="11"/>
  </r>
  <r>
    <n v="638"/>
    <x v="283"/>
    <n v="85"/>
    <s v="Piraquara"/>
    <x v="0"/>
    <n v="47"/>
    <n v="115"/>
    <n v="5405"/>
    <d v="1899-12-30T00:14:24"/>
    <n v="5350.95"/>
    <d v="2020-12-31T00:00:00"/>
    <d v="2020-12-31T00:00:00"/>
    <n v="638"/>
    <n v="6"/>
    <x v="9"/>
    <n v="0.1"/>
    <n v="535.09500000000003"/>
    <n v="1"/>
    <x v="11"/>
  </r>
  <r>
    <n v="639"/>
    <x v="284"/>
    <n v="1"/>
    <s v="Santos"/>
    <x v="7"/>
    <n v="29"/>
    <n v="103"/>
    <n v="2987"/>
    <d v="1899-12-30T02:38:24"/>
    <n v="2658.43"/>
    <d v="2020-12-19T00:00:00"/>
    <d v="2020-12-19T00:00:00"/>
    <n v="639"/>
    <n v="5"/>
    <x v="1"/>
    <n v="0.09"/>
    <n v="239.25869999999998"/>
    <n v="2"/>
    <x v="11"/>
  </r>
  <r>
    <n v="640"/>
    <x v="284"/>
    <n v="40"/>
    <s v="Goiânia"/>
    <x v="6"/>
    <n v="40"/>
    <n v="115"/>
    <n v="4600"/>
    <d v="1899-12-30T02:09:36"/>
    <n v="4186"/>
    <d v="2020-12-16T00:00:00"/>
    <d v="2020-12-16T00:00:00"/>
    <n v="640"/>
    <n v="3"/>
    <x v="0"/>
    <n v="0.09"/>
    <n v="376.74"/>
    <n v="3"/>
    <x v="11"/>
  </r>
  <r>
    <n v="641"/>
    <x v="285"/>
    <n v="36"/>
    <s v="Campo Largo"/>
    <x v="3"/>
    <n v="23"/>
    <n v="90"/>
    <n v="2070"/>
    <d v="1899-12-30T03:07:12"/>
    <n v="1800.9"/>
    <d v="2020-12-23T00:00:00"/>
    <d v="2020-12-23T00:00:00"/>
    <n v="641"/>
    <n v="5"/>
    <x v="4"/>
    <n v="0.06"/>
    <n v="108.054"/>
    <n v="4"/>
    <x v="11"/>
  </r>
  <r>
    <n v="642"/>
    <x v="285"/>
    <n v="21"/>
    <s v="Vitória"/>
    <x v="3"/>
    <n v="31"/>
    <n v="100"/>
    <n v="3100"/>
    <d v="1899-12-30T02:38:24"/>
    <n v="2759"/>
    <d v="2021-01-07T00:00:00"/>
    <d v="2021-01-07T00:00:00"/>
    <n v="642"/>
    <n v="1"/>
    <x v="8"/>
    <n v="0.05"/>
    <n v="137.95000000000002"/>
    <n v="5"/>
    <x v="11"/>
  </r>
  <r>
    <n v="643"/>
    <x v="285"/>
    <n v="55"/>
    <s v="Manaus"/>
    <x v="2"/>
    <n v="25"/>
    <n v="96"/>
    <n v="2400"/>
    <d v="1899-12-30T00:43:12"/>
    <n v="2328"/>
    <d v="2020-12-24T00:00:00"/>
    <d v="2020-12-24T00:00:00"/>
    <n v="643"/>
    <n v="5"/>
    <x v="6"/>
    <n v="0.05"/>
    <n v="116.4"/>
    <n v="6"/>
    <x v="11"/>
  </r>
  <r>
    <n v="644"/>
    <x v="286"/>
    <n v="84"/>
    <s v="Manaus"/>
    <x v="2"/>
    <n v="12"/>
    <n v="94"/>
    <n v="1128"/>
    <d v="1899-12-30T01:12:00"/>
    <n v="1071.5999999999999"/>
    <d v="2020-12-22T00:00:00"/>
    <d v="2020-12-22T00:00:00"/>
    <n v="644"/>
    <n v="2"/>
    <x v="3"/>
    <n v="0.1"/>
    <n v="107.16"/>
    <n v="7"/>
    <x v="11"/>
  </r>
  <r>
    <n v="645"/>
    <x v="286"/>
    <n v="18"/>
    <s v="Bagé"/>
    <x v="0"/>
    <n v="48"/>
    <n v="96"/>
    <n v="4608"/>
    <d v="1899-12-30T01:26:24"/>
    <n v="4331.5200000000004"/>
    <d v="2020-12-17T00:00:00"/>
    <d v="2020-12-17T00:00:00"/>
    <n v="645"/>
    <n v="1"/>
    <x v="5"/>
    <n v="7.0000000000000007E-2"/>
    <n v="303.20640000000009"/>
    <n v="1"/>
    <x v="11"/>
  </r>
  <r>
    <n v="646"/>
    <x v="286"/>
    <n v="46"/>
    <s v="Curitiba"/>
    <x v="2"/>
    <n v="35"/>
    <n v="93"/>
    <n v="3255"/>
    <d v="1899-12-30T03:36:00"/>
    <n v="2766.75"/>
    <d v="2020-12-16T00:00:00"/>
    <m/>
    <n v="646"/>
    <n v="4"/>
    <x v="8"/>
    <n v="0.06"/>
    <n v="166.005"/>
    <n v="2"/>
    <x v="11"/>
  </r>
  <r>
    <n v="647"/>
    <x v="287"/>
    <n v="15"/>
    <s v="Vila Velha"/>
    <x v="2"/>
    <n v="46"/>
    <n v="96"/>
    <n v="4416"/>
    <d v="1899-12-30T03:07:12"/>
    <n v="3841.92"/>
    <d v="2020-12-27T00:00:00"/>
    <d v="2020-12-27T00:00:00"/>
    <n v="647"/>
    <n v="5"/>
    <x v="9"/>
    <n v="0.08"/>
    <n v="307.35360000000003"/>
    <n v="3"/>
    <x v="11"/>
  </r>
  <r>
    <n v="648"/>
    <x v="288"/>
    <n v="18"/>
    <s v="Bagé"/>
    <x v="2"/>
    <n v="42"/>
    <n v="100"/>
    <n v="4200"/>
    <d v="1899-12-30T03:21:36"/>
    <n v="3612"/>
    <d v="2020-12-18T00:00:00"/>
    <d v="2020-12-18T00:00:00"/>
    <n v="648"/>
    <n v="6"/>
    <x v="7"/>
    <n v="0.05"/>
    <n v="180.60000000000002"/>
    <n v="4"/>
    <x v="11"/>
  </r>
  <r>
    <n v="649"/>
    <x v="288"/>
    <n v="56"/>
    <s v="Rio de Janeiro"/>
    <x v="6"/>
    <n v="22"/>
    <n v="92"/>
    <n v="2024"/>
    <d v="1899-12-30T00:28:48"/>
    <n v="1983.52"/>
    <d v="2020-12-31T00:00:00"/>
    <d v="2020-12-31T00:00:00"/>
    <n v="649"/>
    <n v="5"/>
    <x v="6"/>
    <n v="0.1"/>
    <n v="198.352"/>
    <n v="5"/>
    <x v="11"/>
  </r>
  <r>
    <n v="650"/>
    <x v="288"/>
    <n v="52"/>
    <s v="São Luís"/>
    <x v="6"/>
    <n v="21"/>
    <n v="119"/>
    <n v="2499"/>
    <d v="1899-12-30T03:07:12"/>
    <n v="2174.13"/>
    <d v="2021-01-03T00:00:00"/>
    <d v="2021-01-03T00:00:00"/>
    <n v="650"/>
    <n v="4"/>
    <x v="4"/>
    <n v="0.05"/>
    <n v="108.70650000000001"/>
    <n v="6"/>
    <x v="11"/>
  </r>
  <r>
    <n v="651"/>
    <x v="288"/>
    <n v="6"/>
    <s v="Jaú"/>
    <x v="5"/>
    <n v="29"/>
    <n v="97"/>
    <n v="2813"/>
    <d v="1899-12-30T02:09:36"/>
    <n v="2559.83"/>
    <d v="2021-01-10T00:00:00"/>
    <d v="2021-01-10T00:00:00"/>
    <n v="651"/>
    <n v="7"/>
    <x v="8"/>
    <n v="7.0000000000000007E-2"/>
    <n v="179.18810000000002"/>
    <n v="7"/>
    <x v="11"/>
  </r>
  <r>
    <n v="652"/>
    <x v="289"/>
    <n v="49"/>
    <s v="São Paulo"/>
    <x v="6"/>
    <n v="45"/>
    <n v="103"/>
    <n v="4635"/>
    <d v="1899-12-30T00:28:48"/>
    <n v="4542.3"/>
    <d v="2021-01-11T00:00:00"/>
    <d v="2021-01-11T00:00:00"/>
    <n v="652"/>
    <n v="7"/>
    <x v="0"/>
    <n v="0.09"/>
    <n v="408.80700000000002"/>
    <n v="1"/>
    <x v="11"/>
  </r>
  <r>
    <n v="653"/>
    <x v="290"/>
    <n v="99"/>
    <s v="Foz do Iguaçu"/>
    <x v="4"/>
    <n v="27"/>
    <n v="91"/>
    <n v="2457"/>
    <d v="1899-12-30T01:55:12"/>
    <n v="2260.44"/>
    <d v="2020-12-28T00:00:00"/>
    <d v="2020-12-28T00:00:00"/>
    <n v="653"/>
    <n v="7"/>
    <x v="0"/>
    <n v="0.05"/>
    <n v="113.02200000000001"/>
    <n v="2"/>
    <x v="11"/>
  </r>
  <r>
    <n v="654"/>
    <x v="291"/>
    <n v="71"/>
    <s v="Paranavaí"/>
    <x v="9"/>
    <n v="30"/>
    <n v="108"/>
    <n v="3240"/>
    <d v="1899-12-30T03:07:12"/>
    <n v="2818.8"/>
    <d v="2021-01-01T00:00:00"/>
    <d v="2021-01-01T00:00:00"/>
    <n v="654"/>
    <n v="2"/>
    <x v="2"/>
    <n v="7.0000000000000007E-2"/>
    <n v="197.31600000000003"/>
    <n v="3"/>
    <x v="11"/>
  </r>
  <r>
    <n v="655"/>
    <x v="291"/>
    <n v="73"/>
    <s v="São Paulo"/>
    <x v="9"/>
    <n v="40"/>
    <n v="92"/>
    <n v="3680"/>
    <d v="1899-12-30T00:28:48"/>
    <n v="3606.4"/>
    <d v="2020-12-31T00:00:00"/>
    <d v="2020-12-31T00:00:00"/>
    <n v="655"/>
    <n v="7"/>
    <x v="5"/>
    <n v="0.05"/>
    <n v="180.32000000000002"/>
    <n v="4"/>
    <x v="11"/>
  </r>
  <r>
    <n v="656"/>
    <x v="291"/>
    <n v="6"/>
    <s v="Jaú"/>
    <x v="1"/>
    <n v="37"/>
    <n v="92"/>
    <n v="3404"/>
    <d v="1899-12-30T00:57:36"/>
    <n v="3267.84"/>
    <d v="2021-01-09T00:00:00"/>
    <d v="2021-01-09T00:00:00"/>
    <n v="656"/>
    <n v="6"/>
    <x v="8"/>
    <n v="0.08"/>
    <n v="261.42720000000003"/>
    <n v="5"/>
    <x v="11"/>
  </r>
  <r>
    <n v="657"/>
    <x v="291"/>
    <n v="13"/>
    <s v="Contagem"/>
    <x v="8"/>
    <n v="40"/>
    <n v="111"/>
    <n v="4440"/>
    <d v="1899-12-30T00:28:48"/>
    <n v="4351.2"/>
    <d v="2020-12-24T00:00:00"/>
    <d v="2020-12-24T00:00:00"/>
    <n v="657"/>
    <n v="7"/>
    <x v="1"/>
    <n v="0.08"/>
    <n v="348.096"/>
    <n v="6"/>
    <x v="11"/>
  </r>
  <r>
    <n v="658"/>
    <x v="292"/>
    <n v="72"/>
    <s v="São Paulo"/>
    <x v="0"/>
    <n v="31"/>
    <n v="104"/>
    <n v="3224"/>
    <d v="1899-12-30T02:38:24"/>
    <n v="2869.36"/>
    <d v="2020-12-31T00:00:00"/>
    <d v="2020-12-31T00:00:00"/>
    <n v="658"/>
    <n v="5"/>
    <x v="0"/>
    <n v="0.06"/>
    <n v="172.16159999999999"/>
    <n v="7"/>
    <x v="11"/>
  </r>
  <r>
    <n v="659"/>
    <x v="292"/>
    <n v="9"/>
    <s v="Governador Valadares"/>
    <x v="1"/>
    <n v="36"/>
    <n v="98"/>
    <n v="3528"/>
    <d v="1899-12-30T03:21:36"/>
    <n v="3034.08"/>
    <d v="2021-01-13T00:00:00"/>
    <d v="2021-01-13T00:00:00"/>
    <n v="659"/>
    <n v="4"/>
    <x v="8"/>
    <n v="0.1"/>
    <n v="303.40800000000002"/>
    <n v="1"/>
    <x v="11"/>
  </r>
  <r>
    <n v="660"/>
    <x v="293"/>
    <n v="57"/>
    <s v="Campinas"/>
    <x v="2"/>
    <n v="25"/>
    <n v="106"/>
    <n v="2650"/>
    <d v="1899-12-30T01:26:24"/>
    <n v="2491"/>
    <d v="2020-12-27T00:00:00"/>
    <d v="2020-12-27T00:00:00"/>
    <n v="660"/>
    <n v="7"/>
    <x v="4"/>
    <n v="0.09"/>
    <n v="224.19"/>
    <n v="2"/>
    <x v="11"/>
  </r>
  <r>
    <n v="661"/>
    <x v="293"/>
    <n v="6"/>
    <s v="Jaú"/>
    <x v="5"/>
    <n v="15"/>
    <n v="118"/>
    <n v="1770"/>
    <d v="1899-12-30T03:36:00"/>
    <n v="1504.5"/>
    <d v="2021-01-18T00:00:00"/>
    <d v="2021-01-18T00:00:00"/>
    <n v="661"/>
    <n v="5"/>
    <x v="9"/>
    <n v="0.05"/>
    <n v="75.225000000000009"/>
    <n v="3"/>
    <x v="11"/>
  </r>
  <r>
    <n v="662"/>
    <x v="294"/>
    <n v="48"/>
    <s v="Guarulhos"/>
    <x v="1"/>
    <n v="32"/>
    <n v="93"/>
    <n v="2976"/>
    <d v="1899-12-30T02:38:24"/>
    <n v="2648.64"/>
    <d v="2021-01-12T00:00:00"/>
    <d v="2021-01-12T00:00:00"/>
    <n v="662"/>
    <n v="4"/>
    <x v="0"/>
    <n v="0.1"/>
    <n v="264.86399999999998"/>
    <n v="4"/>
    <x v="11"/>
  </r>
  <r>
    <n v="663"/>
    <x v="294"/>
    <n v="38"/>
    <s v="Belo Horizonte"/>
    <x v="7"/>
    <n v="28"/>
    <n v="90"/>
    <n v="2520"/>
    <d v="1899-12-30T01:26:24"/>
    <n v="2368.8000000000002"/>
    <d v="2020-12-30T00:00:00"/>
    <d v="2020-12-30T00:00:00"/>
    <n v="663"/>
    <n v="7"/>
    <x v="7"/>
    <n v="0.06"/>
    <n v="142.12800000000001"/>
    <n v="5"/>
    <x v="11"/>
  </r>
  <r>
    <n v="664"/>
    <x v="294"/>
    <n v="93"/>
    <s v="Salvador"/>
    <x v="0"/>
    <n v="29"/>
    <n v="92"/>
    <n v="2668"/>
    <d v="1899-12-30T03:07:12"/>
    <n v="2321.16"/>
    <d v="2021-01-22T00:00:00"/>
    <m/>
    <n v="664"/>
    <n v="3"/>
    <x v="9"/>
    <n v="0.08"/>
    <n v="185.69280000000001"/>
    <n v="6"/>
    <x v="11"/>
  </r>
  <r>
    <n v="665"/>
    <x v="295"/>
    <n v="58"/>
    <s v="Natal"/>
    <x v="5"/>
    <n v="11"/>
    <n v="117"/>
    <n v="1287"/>
    <d v="1899-12-30T03:21:36"/>
    <n v="1106.82"/>
    <d v="2020-12-27T00:00:00"/>
    <d v="2020-12-27T00:00:00"/>
    <n v="665"/>
    <n v="1"/>
    <x v="1"/>
    <n v="0.09"/>
    <n v="99.613799999999998"/>
    <n v="7"/>
    <x v="11"/>
  </r>
  <r>
    <n v="666"/>
    <x v="296"/>
    <n v="76"/>
    <s v="Coronel Fabriciano"/>
    <x v="7"/>
    <n v="13"/>
    <n v="93"/>
    <n v="1209"/>
    <d v="1899-12-30T00:00:00"/>
    <n v="1209"/>
    <d v="2021-01-14T00:00:00"/>
    <d v="2021-01-14T00:00:00"/>
    <n v="666"/>
    <n v="7"/>
    <x v="7"/>
    <n v="0.1"/>
    <n v="120.9"/>
    <n v="1"/>
    <x v="11"/>
  </r>
  <r>
    <n v="667"/>
    <x v="296"/>
    <n v="66"/>
    <s v="Gurupi"/>
    <x v="4"/>
    <n v="17"/>
    <n v="118"/>
    <n v="2006"/>
    <d v="1899-12-30T01:26:24"/>
    <n v="1885.64"/>
    <d v="2021-01-02T00:00:00"/>
    <d v="2021-01-02T00:00:00"/>
    <n v="667"/>
    <n v="7"/>
    <x v="1"/>
    <n v="0.06"/>
    <n v="113.1384"/>
    <n v="2"/>
    <x v="11"/>
  </r>
  <r>
    <n v="668"/>
    <x v="297"/>
    <n v="18"/>
    <s v="Bagé"/>
    <x v="2"/>
    <n v="10"/>
    <n v="112"/>
    <n v="1120"/>
    <d v="1899-12-30T01:26:24"/>
    <n v="1052.8"/>
    <d v="2020-12-29T00:00:00"/>
    <d v="2020-12-29T00:00:00"/>
    <n v="668"/>
    <n v="7"/>
    <x v="0"/>
    <n v="0.08"/>
    <n v="84.224000000000004"/>
    <n v="3"/>
    <x v="11"/>
  </r>
  <r>
    <n v="669"/>
    <x v="298"/>
    <n v="11"/>
    <s v="Cachoeiro de Itapemirim"/>
    <x v="9"/>
    <n v="31"/>
    <n v="115"/>
    <n v="3565"/>
    <d v="1899-12-30T00:57:36"/>
    <n v="3422.4"/>
    <d v="2021-01-04T00:00:00"/>
    <d v="2021-01-04T00:00:00"/>
    <n v="669"/>
    <n v="3"/>
    <x v="4"/>
    <n v="0.09"/>
    <n v="308.01600000000002"/>
    <n v="4"/>
    <x v="11"/>
  </r>
  <r>
    <n v="670"/>
    <x v="298"/>
    <n v="22"/>
    <s v="Núcleo Bandeirante"/>
    <x v="3"/>
    <n v="37"/>
    <n v="110"/>
    <n v="4070"/>
    <d v="1899-12-30T01:12:00"/>
    <n v="3866.5"/>
    <d v="2021-01-14T00:00:00"/>
    <m/>
    <n v="670"/>
    <n v="6"/>
    <x v="5"/>
    <n v="0.06"/>
    <n v="231.98999999999998"/>
    <n v="5"/>
    <x v="11"/>
  </r>
  <r>
    <n v="671"/>
    <x v="298"/>
    <n v="79"/>
    <s v="Salvador"/>
    <x v="8"/>
    <n v="21"/>
    <n v="103"/>
    <n v="2163"/>
    <d v="1899-12-30T02:09:36"/>
    <n v="1968.33"/>
    <d v="2021-01-25T00:00:00"/>
    <d v="2021-01-25T00:00:00"/>
    <n v="671"/>
    <n v="5"/>
    <x v="8"/>
    <n v="7.0000000000000007E-2"/>
    <n v="137.78310000000002"/>
    <n v="6"/>
    <x v="11"/>
  </r>
  <r>
    <n v="672"/>
    <x v="299"/>
    <n v="72"/>
    <s v="São Paulo"/>
    <x v="9"/>
    <n v="44"/>
    <n v="116"/>
    <n v="5104"/>
    <d v="1899-12-30T02:38:24"/>
    <n v="4542.5599999999995"/>
    <d v="2021-01-15T00:00:00"/>
    <d v="2021-01-15T00:00:00"/>
    <n v="672"/>
    <n v="6"/>
    <x v="6"/>
    <n v="0.05"/>
    <n v="227.12799999999999"/>
    <n v="7"/>
    <x v="11"/>
  </r>
  <r>
    <n v="673"/>
    <x v="299"/>
    <n v="86"/>
    <s v="Jataí"/>
    <x v="6"/>
    <n v="28"/>
    <n v="110"/>
    <n v="3080"/>
    <d v="1899-12-30T02:52:48"/>
    <n v="2710.4"/>
    <d v="2021-01-03T00:00:00"/>
    <d v="2021-01-03T00:00:00"/>
    <n v="673"/>
    <n v="4"/>
    <x v="0"/>
    <n v="0.05"/>
    <n v="135.52000000000001"/>
    <n v="1"/>
    <x v="11"/>
  </r>
  <r>
    <n v="674"/>
    <x v="300"/>
    <n v="13"/>
    <s v="Contagem"/>
    <x v="1"/>
    <n v="19"/>
    <n v="115"/>
    <n v="2185"/>
    <d v="1899-12-30T01:26:24"/>
    <n v="2053.9"/>
    <d v="2021-01-14T00:00:00"/>
    <d v="2021-01-14T00:00:00"/>
    <n v="674"/>
    <n v="3"/>
    <x v="8"/>
    <n v="0.05"/>
    <n v="102.69500000000001"/>
    <n v="2"/>
    <x v="0"/>
  </r>
  <r>
    <n v="675"/>
    <x v="300"/>
    <n v="64"/>
    <s v="Juazeiro"/>
    <x v="1"/>
    <n v="27"/>
    <n v="99"/>
    <n v="2673"/>
    <d v="1899-12-30T01:55:12"/>
    <n v="2459.16"/>
    <d v="2021-01-12T00:00:00"/>
    <d v="2021-01-12T00:00:00"/>
    <n v="675"/>
    <n v="6"/>
    <x v="9"/>
    <n v="0.09"/>
    <n v="221.32439999999997"/>
    <n v="3"/>
    <x v="0"/>
  </r>
  <r>
    <n v="676"/>
    <x v="300"/>
    <n v="20"/>
    <s v="São Bernardo do Campo"/>
    <x v="7"/>
    <n v="47"/>
    <n v="94"/>
    <n v="4418"/>
    <d v="1899-12-30T01:55:12"/>
    <n v="4064.56"/>
    <d v="2021-01-19T00:00:00"/>
    <d v="2021-01-19T00:00:00"/>
    <n v="676"/>
    <n v="7"/>
    <x v="9"/>
    <n v="0.1"/>
    <n v="406.45600000000002"/>
    <n v="4"/>
    <x v="0"/>
  </r>
  <r>
    <n v="677"/>
    <x v="301"/>
    <n v="47"/>
    <s v="Fortaleza"/>
    <x v="3"/>
    <n v="34"/>
    <n v="108"/>
    <n v="3672"/>
    <d v="1899-12-30T00:14:24"/>
    <n v="3635.28"/>
    <d v="2021-01-08T00:00:00"/>
    <d v="2021-01-08T00:00:00"/>
    <n v="677"/>
    <n v="6"/>
    <x v="8"/>
    <n v="0.05"/>
    <n v="181.76400000000001"/>
    <n v="5"/>
    <x v="0"/>
  </r>
  <r>
    <n v="678"/>
    <x v="302"/>
    <n v="92"/>
    <s v="Recife"/>
    <x v="5"/>
    <n v="30"/>
    <n v="95"/>
    <n v="2850"/>
    <d v="1899-12-30T00:43:12"/>
    <n v="2764.5"/>
    <d v="2021-01-21T00:00:00"/>
    <d v="2021-01-21T00:00:00"/>
    <n v="678"/>
    <n v="7"/>
    <x v="7"/>
    <n v="0.08"/>
    <n v="221.16"/>
    <n v="6"/>
    <x v="0"/>
  </r>
  <r>
    <n v="679"/>
    <x v="303"/>
    <n v="70"/>
    <s v="Rio de Janeiro"/>
    <x v="5"/>
    <n v="30"/>
    <n v="91"/>
    <n v="2730"/>
    <d v="1899-12-30T01:12:00"/>
    <n v="2593.5"/>
    <d v="2021-02-01T00:00:00"/>
    <d v="2021-02-01T00:00:00"/>
    <n v="679"/>
    <n v="4"/>
    <x v="3"/>
    <n v="0.08"/>
    <n v="207.48000000000002"/>
    <n v="7"/>
    <x v="0"/>
  </r>
  <r>
    <n v="680"/>
    <x v="303"/>
    <n v="33"/>
    <s v="Ituiutaba"/>
    <x v="5"/>
    <n v="29"/>
    <n v="92"/>
    <n v="2668"/>
    <d v="1899-12-30T03:21:36"/>
    <n v="2294.48"/>
    <d v="2021-01-08T00:00:00"/>
    <d v="2021-01-08T00:00:00"/>
    <n v="680"/>
    <n v="1"/>
    <x v="1"/>
    <n v="0.08"/>
    <n v="183.55840000000001"/>
    <n v="1"/>
    <x v="0"/>
  </r>
  <r>
    <n v="681"/>
    <x v="303"/>
    <n v="50"/>
    <s v="Patos de Minas"/>
    <x v="6"/>
    <n v="19"/>
    <n v="111"/>
    <n v="2109"/>
    <d v="1899-12-30T01:55:12"/>
    <n v="1940.28"/>
    <d v="2021-01-09T00:00:00"/>
    <d v="2021-01-09T00:00:00"/>
    <n v="681"/>
    <n v="7"/>
    <x v="6"/>
    <n v="0.08"/>
    <n v="155.22239999999999"/>
    <n v="2"/>
    <x v="0"/>
  </r>
  <r>
    <n v="682"/>
    <x v="303"/>
    <n v="57"/>
    <s v="Campinas"/>
    <x v="4"/>
    <n v="27"/>
    <n v="111"/>
    <n v="2997"/>
    <d v="1899-12-30T00:57:36"/>
    <n v="2877.12"/>
    <d v="2021-01-13T00:00:00"/>
    <d v="2021-01-13T00:00:00"/>
    <n v="682"/>
    <n v="3"/>
    <x v="5"/>
    <n v="0.06"/>
    <n v="172.62719999999999"/>
    <n v="3"/>
    <x v="0"/>
  </r>
  <r>
    <n v="683"/>
    <x v="303"/>
    <n v="7"/>
    <s v="Cabo de Santo Agostinho"/>
    <x v="3"/>
    <n v="43"/>
    <n v="118"/>
    <n v="5074"/>
    <d v="1899-12-30T03:36:00"/>
    <n v="4312.8999999999996"/>
    <d v="2021-01-09T00:00:00"/>
    <d v="2021-01-09T00:00:00"/>
    <n v="683"/>
    <n v="7"/>
    <x v="0"/>
    <n v="0.09"/>
    <n v="388.16099999999994"/>
    <n v="4"/>
    <x v="0"/>
  </r>
  <r>
    <n v="684"/>
    <x v="304"/>
    <n v="62"/>
    <s v="São Paulo"/>
    <x v="3"/>
    <n v="13"/>
    <n v="101"/>
    <n v="1313"/>
    <d v="1899-12-30T01:26:24"/>
    <n v="1234.22"/>
    <d v="2021-02-02T00:00:00"/>
    <d v="2021-02-02T00:00:00"/>
    <n v="684"/>
    <n v="3"/>
    <x v="2"/>
    <n v="0.1"/>
    <n v="123.42200000000001"/>
    <n v="5"/>
    <x v="0"/>
  </r>
  <r>
    <n v="685"/>
    <x v="304"/>
    <n v="32"/>
    <s v="Vila Velha"/>
    <x v="3"/>
    <n v="32"/>
    <n v="112"/>
    <n v="3584"/>
    <d v="1899-12-30T02:09:36"/>
    <n v="3261.44"/>
    <d v="2021-01-09T00:00:00"/>
    <d v="2021-01-09T00:00:00"/>
    <n v="685"/>
    <n v="2"/>
    <x v="5"/>
    <n v="0.06"/>
    <n v="195.68639999999999"/>
    <n v="6"/>
    <x v="0"/>
  </r>
  <r>
    <n v="686"/>
    <x v="305"/>
    <n v="40"/>
    <s v="Goiânia"/>
    <x v="1"/>
    <n v="23"/>
    <n v="119"/>
    <n v="2737"/>
    <d v="1899-12-30T00:14:24"/>
    <n v="2709.63"/>
    <d v="2021-01-14T00:00:00"/>
    <d v="2021-01-14T00:00:00"/>
    <n v="686"/>
    <n v="3"/>
    <x v="8"/>
    <n v="0.09"/>
    <n v="243.86670000000001"/>
    <n v="7"/>
    <x v="0"/>
  </r>
  <r>
    <n v="687"/>
    <x v="306"/>
    <n v="5"/>
    <s v="São Paulo"/>
    <x v="5"/>
    <n v="36"/>
    <n v="101"/>
    <n v="3636"/>
    <d v="1899-12-30T01:40:48"/>
    <n v="3381.48"/>
    <d v="2021-01-24T00:00:00"/>
    <d v="2021-01-24T00:00:00"/>
    <n v="687"/>
    <n v="4"/>
    <x v="0"/>
    <n v="7.0000000000000007E-2"/>
    <n v="236.70360000000002"/>
    <n v="1"/>
    <x v="0"/>
  </r>
  <r>
    <n v="688"/>
    <x v="306"/>
    <n v="97"/>
    <s v="Franca"/>
    <x v="9"/>
    <n v="20"/>
    <n v="103"/>
    <n v="2060"/>
    <d v="1899-12-30T01:40:48"/>
    <n v="1915.8"/>
    <d v="2021-01-09T00:00:00"/>
    <d v="2021-01-09T00:00:00"/>
    <n v="688"/>
    <n v="3"/>
    <x v="1"/>
    <n v="0.06"/>
    <n v="114.94799999999999"/>
    <n v="2"/>
    <x v="0"/>
  </r>
  <r>
    <n v="689"/>
    <x v="307"/>
    <n v="69"/>
    <s v="Rio de Janeiro"/>
    <x v="3"/>
    <n v="14"/>
    <n v="109"/>
    <n v="1526"/>
    <d v="1899-12-30T02:09:36"/>
    <n v="1388.66"/>
    <d v="2021-02-01T00:00:00"/>
    <d v="2021-02-01T00:00:00"/>
    <n v="689"/>
    <n v="2"/>
    <x v="9"/>
    <n v="0.06"/>
    <n v="83.319600000000008"/>
    <n v="3"/>
    <x v="0"/>
  </r>
  <r>
    <n v="690"/>
    <x v="308"/>
    <n v="75"/>
    <s v="São Paulo"/>
    <x v="7"/>
    <n v="30"/>
    <n v="113"/>
    <n v="3390"/>
    <d v="1899-12-30T01:40:48"/>
    <n v="3152.7"/>
    <d v="2021-02-01T00:00:00"/>
    <d v="2021-02-01T00:00:00"/>
    <n v="690"/>
    <n v="3"/>
    <x v="3"/>
    <n v="7.0000000000000007E-2"/>
    <n v="220.68900000000002"/>
    <n v="4"/>
    <x v="0"/>
  </r>
  <r>
    <n v="691"/>
    <x v="308"/>
    <n v="4"/>
    <s v="João Pessoa"/>
    <x v="6"/>
    <n v="39"/>
    <n v="105"/>
    <n v="4095"/>
    <d v="1899-12-30T01:40:48"/>
    <n v="3808.35"/>
    <d v="2021-02-05T00:00:00"/>
    <m/>
    <n v="691"/>
    <n v="6"/>
    <x v="8"/>
    <n v="0.1"/>
    <n v="380.83500000000004"/>
    <n v="5"/>
    <x v="0"/>
  </r>
  <r>
    <n v="692"/>
    <x v="309"/>
    <n v="82"/>
    <s v="Rio de Janeiro"/>
    <x v="7"/>
    <n v="20"/>
    <n v="119"/>
    <n v="2380"/>
    <d v="1899-12-30T03:07:12"/>
    <n v="2070.6"/>
    <d v="2021-02-11T00:00:00"/>
    <d v="2021-02-11T00:00:00"/>
    <n v="692"/>
    <n v="3"/>
    <x v="0"/>
    <n v="0.09"/>
    <n v="186.35399999999998"/>
    <n v="6"/>
    <x v="0"/>
  </r>
  <r>
    <n v="693"/>
    <x v="309"/>
    <n v="54"/>
    <s v="São Gonçalo"/>
    <x v="5"/>
    <n v="36"/>
    <n v="112"/>
    <n v="4032"/>
    <d v="1899-12-30T00:14:24"/>
    <n v="3991.68"/>
    <d v="2021-02-03T00:00:00"/>
    <d v="2021-02-03T00:00:00"/>
    <n v="693"/>
    <n v="7"/>
    <x v="1"/>
    <n v="0.08"/>
    <n v="319.33440000000002"/>
    <n v="7"/>
    <x v="0"/>
  </r>
  <r>
    <n v="694"/>
    <x v="310"/>
    <n v="29"/>
    <s v="Teófilo Otoni"/>
    <x v="1"/>
    <n v="47"/>
    <n v="97"/>
    <n v="4559"/>
    <d v="1899-12-30T01:40:48"/>
    <n v="4239.87"/>
    <d v="2021-02-03T00:00:00"/>
    <d v="2021-02-03T00:00:00"/>
    <n v="694"/>
    <n v="6"/>
    <x v="7"/>
    <n v="0.09"/>
    <n v="381.5883"/>
    <n v="1"/>
    <x v="0"/>
  </r>
  <r>
    <n v="695"/>
    <x v="310"/>
    <n v="8"/>
    <s v="São Paulo"/>
    <x v="8"/>
    <n v="37"/>
    <n v="120"/>
    <n v="4440"/>
    <d v="1899-12-30T01:26:24"/>
    <n v="4173.6000000000004"/>
    <d v="2021-01-15T00:00:00"/>
    <d v="2021-01-15T00:00:00"/>
    <n v="695"/>
    <n v="4"/>
    <x v="6"/>
    <n v="0.08"/>
    <n v="333.88800000000003"/>
    <n v="2"/>
    <x v="0"/>
  </r>
  <r>
    <n v="696"/>
    <x v="310"/>
    <n v="40"/>
    <s v="Goiânia"/>
    <x v="1"/>
    <n v="29"/>
    <n v="108"/>
    <n v="3132"/>
    <d v="1899-12-30T00:00:00"/>
    <n v="3132"/>
    <d v="2021-02-05T00:00:00"/>
    <d v="2021-02-05T00:00:00"/>
    <n v="696"/>
    <n v="5"/>
    <x v="6"/>
    <n v="0.06"/>
    <n v="187.92"/>
    <n v="3"/>
    <x v="0"/>
  </r>
  <r>
    <n v="697"/>
    <x v="310"/>
    <n v="13"/>
    <s v="Contagem"/>
    <x v="8"/>
    <n v="24"/>
    <n v="93"/>
    <n v="2232"/>
    <d v="1899-12-30T02:38:24"/>
    <n v="1986.48"/>
    <d v="2021-02-03T00:00:00"/>
    <d v="2021-02-03T00:00:00"/>
    <n v="697"/>
    <n v="3"/>
    <x v="3"/>
    <n v="0.08"/>
    <n v="158.91839999999999"/>
    <n v="4"/>
    <x v="0"/>
  </r>
  <r>
    <n v="698"/>
    <x v="311"/>
    <n v="69"/>
    <s v="Rio de Janeiro"/>
    <x v="8"/>
    <n v="18"/>
    <n v="106"/>
    <n v="1908"/>
    <d v="1899-12-30T03:36:00"/>
    <n v="1621.8"/>
    <d v="2021-01-22T00:00:00"/>
    <d v="2021-01-22T00:00:00"/>
    <n v="698"/>
    <n v="1"/>
    <x v="5"/>
    <n v="7.0000000000000007E-2"/>
    <n v="113.52600000000001"/>
    <n v="5"/>
    <x v="0"/>
  </r>
  <r>
    <n v="699"/>
    <x v="311"/>
    <n v="63"/>
    <s v="Catanduva"/>
    <x v="0"/>
    <n v="26"/>
    <n v="107"/>
    <n v="2782"/>
    <d v="1899-12-30T03:36:00"/>
    <n v="2364.6999999999998"/>
    <d v="2021-02-05T00:00:00"/>
    <d v="2021-02-05T00:00:00"/>
    <n v="699"/>
    <n v="1"/>
    <x v="7"/>
    <n v="0.1"/>
    <n v="236.47"/>
    <n v="6"/>
    <x v="0"/>
  </r>
  <r>
    <n v="700"/>
    <x v="311"/>
    <n v="6"/>
    <s v="Jaú"/>
    <x v="3"/>
    <n v="49"/>
    <n v="103"/>
    <n v="5047"/>
    <d v="1899-12-30T03:07:12"/>
    <n v="4390.8900000000003"/>
    <d v="2021-02-08T00:00:00"/>
    <d v="2021-02-08T00:00:00"/>
    <n v="700"/>
    <n v="1"/>
    <x v="9"/>
    <n v="0.1"/>
    <n v="439.08900000000006"/>
    <n v="7"/>
    <x v="0"/>
  </r>
  <r>
    <n v="701"/>
    <x v="312"/>
    <n v="31"/>
    <s v="Juiz de Fora"/>
    <x v="3"/>
    <n v="25"/>
    <n v="92"/>
    <n v="2300"/>
    <d v="1899-12-30T00:14:24"/>
    <n v="2277"/>
    <d v="2021-01-28T00:00:00"/>
    <d v="2021-01-28T00:00:00"/>
    <n v="701"/>
    <n v="1"/>
    <x v="1"/>
    <n v="0.05"/>
    <n v="113.85000000000001"/>
    <n v="1"/>
    <x v="0"/>
  </r>
  <r>
    <n v="702"/>
    <x v="313"/>
    <n v="96"/>
    <s v="Santana de Parnaíba"/>
    <x v="1"/>
    <n v="16"/>
    <n v="98"/>
    <n v="1568"/>
    <d v="1899-12-30T03:36:00"/>
    <n v="1332.8"/>
    <d v="2021-01-29T00:00:00"/>
    <d v="2021-01-29T00:00:00"/>
    <n v="702"/>
    <n v="5"/>
    <x v="5"/>
    <n v="7.0000000000000007E-2"/>
    <n v="93.296000000000006"/>
    <n v="2"/>
    <x v="0"/>
  </r>
  <r>
    <n v="703"/>
    <x v="313"/>
    <n v="62"/>
    <s v="São Paulo"/>
    <x v="7"/>
    <n v="29"/>
    <n v="112"/>
    <n v="3248"/>
    <d v="1899-12-30T00:43:12"/>
    <n v="3150.56"/>
    <d v="2021-02-06T00:00:00"/>
    <d v="2021-02-06T00:00:00"/>
    <n v="703"/>
    <n v="6"/>
    <x v="2"/>
    <n v="0.06"/>
    <n v="189.03359999999998"/>
    <n v="3"/>
    <x v="0"/>
  </r>
  <r>
    <n v="704"/>
    <x v="313"/>
    <n v="85"/>
    <s v="Piraquara"/>
    <x v="9"/>
    <n v="32"/>
    <n v="97"/>
    <n v="3104"/>
    <d v="1899-12-30T00:14:24"/>
    <n v="3072.96"/>
    <d v="2021-01-21T00:00:00"/>
    <d v="2021-01-21T00:00:00"/>
    <n v="704"/>
    <n v="2"/>
    <x v="0"/>
    <n v="0.1"/>
    <n v="307.29600000000005"/>
    <n v="4"/>
    <x v="0"/>
  </r>
  <r>
    <n v="705"/>
    <x v="313"/>
    <n v="38"/>
    <s v="Belo Horizonte"/>
    <x v="3"/>
    <n v="46"/>
    <n v="102"/>
    <n v="4692"/>
    <d v="1899-12-30T01:55:12"/>
    <n v="4316.6400000000003"/>
    <d v="2021-02-13T00:00:00"/>
    <d v="2021-02-13T00:00:00"/>
    <n v="705"/>
    <n v="1"/>
    <x v="5"/>
    <n v="0.05"/>
    <n v="215.83200000000002"/>
    <n v="5"/>
    <x v="0"/>
  </r>
  <r>
    <n v="706"/>
    <x v="314"/>
    <n v="27"/>
    <s v="Praia Grande"/>
    <x v="7"/>
    <n v="14"/>
    <n v="110"/>
    <n v="1540"/>
    <d v="1899-12-30T01:26:24"/>
    <n v="1447.6"/>
    <d v="2021-02-06T00:00:00"/>
    <d v="2021-02-06T00:00:00"/>
    <n v="706"/>
    <n v="1"/>
    <x v="6"/>
    <n v="0.06"/>
    <n v="86.855999999999995"/>
    <n v="6"/>
    <x v="0"/>
  </r>
  <r>
    <n v="707"/>
    <x v="314"/>
    <n v="31"/>
    <s v="Juiz de Fora"/>
    <x v="2"/>
    <n v="14"/>
    <n v="116"/>
    <n v="1624"/>
    <d v="1899-12-30T03:21:36"/>
    <n v="1396.6399999999999"/>
    <d v="2021-01-21T00:00:00"/>
    <d v="2021-01-21T00:00:00"/>
    <n v="707"/>
    <n v="1"/>
    <x v="0"/>
    <n v="0.08"/>
    <n v="111.73119999999999"/>
    <n v="7"/>
    <x v="0"/>
  </r>
  <r>
    <n v="708"/>
    <x v="314"/>
    <n v="84"/>
    <s v="Manaus"/>
    <x v="5"/>
    <n v="39"/>
    <n v="117"/>
    <n v="4563"/>
    <d v="1899-12-30T02:52:48"/>
    <n v="4015.44"/>
    <d v="2021-02-06T00:00:00"/>
    <d v="2021-02-06T00:00:00"/>
    <n v="708"/>
    <n v="6"/>
    <x v="7"/>
    <n v="0.08"/>
    <n v="321.23520000000002"/>
    <n v="1"/>
    <x v="0"/>
  </r>
  <r>
    <n v="709"/>
    <x v="314"/>
    <n v="2"/>
    <s v="Laranjeiras do Sul"/>
    <x v="6"/>
    <n v="13"/>
    <n v="97"/>
    <n v="1261"/>
    <d v="1899-12-30T00:00:00"/>
    <n v="1261"/>
    <d v="2021-02-10T00:00:00"/>
    <d v="2021-02-10T00:00:00"/>
    <n v="709"/>
    <n v="2"/>
    <x v="7"/>
    <n v="0.06"/>
    <n v="75.66"/>
    <n v="2"/>
    <x v="0"/>
  </r>
  <r>
    <n v="710"/>
    <x v="314"/>
    <n v="59"/>
    <s v="Garanhuns"/>
    <x v="1"/>
    <n v="21"/>
    <n v="114"/>
    <n v="2394"/>
    <d v="1899-12-30T02:52:48"/>
    <n v="2106.7200000000003"/>
    <d v="2021-02-18T00:00:00"/>
    <d v="2021-02-18T00:00:00"/>
    <n v="710"/>
    <n v="7"/>
    <x v="8"/>
    <n v="0.05"/>
    <n v="105.33600000000001"/>
    <n v="3"/>
    <x v="0"/>
  </r>
  <r>
    <n v="711"/>
    <x v="315"/>
    <n v="47"/>
    <s v="Fortaleza"/>
    <x v="6"/>
    <n v="32"/>
    <n v="119"/>
    <n v="3808"/>
    <d v="1899-12-30T00:00:00"/>
    <n v="3808"/>
    <d v="2021-01-30T00:00:00"/>
    <d v="2021-01-30T00:00:00"/>
    <n v="711"/>
    <n v="3"/>
    <x v="0"/>
    <n v="0.1"/>
    <n v="380.8"/>
    <n v="4"/>
    <x v="0"/>
  </r>
  <r>
    <n v="712"/>
    <x v="315"/>
    <n v="44"/>
    <s v="Atibaia"/>
    <x v="9"/>
    <n v="28"/>
    <n v="108"/>
    <n v="3024"/>
    <d v="1899-12-30T03:21:36"/>
    <n v="2600.64"/>
    <d v="2021-02-13T00:00:00"/>
    <d v="2021-02-13T00:00:00"/>
    <n v="712"/>
    <n v="7"/>
    <x v="5"/>
    <n v="0.1"/>
    <n v="260.06400000000002"/>
    <n v="5"/>
    <x v="0"/>
  </r>
  <r>
    <n v="713"/>
    <x v="316"/>
    <n v="34"/>
    <s v="Brusque"/>
    <x v="8"/>
    <n v="31"/>
    <n v="119"/>
    <n v="3689"/>
    <d v="1899-12-30T02:52:48"/>
    <n v="3246.32"/>
    <d v="2021-02-06T00:00:00"/>
    <d v="2021-02-06T00:00:00"/>
    <n v="713"/>
    <n v="6"/>
    <x v="8"/>
    <n v="0.09"/>
    <n v="292.16879999999998"/>
    <n v="6"/>
    <x v="0"/>
  </r>
  <r>
    <n v="714"/>
    <x v="316"/>
    <n v="51"/>
    <s v="Avaré"/>
    <x v="5"/>
    <n v="15"/>
    <n v="116"/>
    <n v="1740"/>
    <d v="1899-12-30T03:36:00"/>
    <n v="1479"/>
    <d v="2021-02-06T00:00:00"/>
    <d v="2021-02-06T00:00:00"/>
    <n v="714"/>
    <n v="6"/>
    <x v="4"/>
    <n v="0.06"/>
    <n v="88.74"/>
    <n v="7"/>
    <x v="0"/>
  </r>
  <r>
    <n v="715"/>
    <x v="317"/>
    <n v="41"/>
    <s v="São João Del Rei"/>
    <x v="5"/>
    <n v="11"/>
    <n v="90"/>
    <n v="990"/>
    <d v="1899-12-30T02:09:36"/>
    <n v="900.9"/>
    <d v="2021-02-02T00:00:00"/>
    <d v="2021-02-02T00:00:00"/>
    <n v="715"/>
    <n v="5"/>
    <x v="3"/>
    <n v="0.1"/>
    <n v="90.09"/>
    <n v="1"/>
    <x v="0"/>
  </r>
  <r>
    <n v="716"/>
    <x v="317"/>
    <n v="89"/>
    <s v="Goiânia"/>
    <x v="9"/>
    <n v="26"/>
    <n v="116"/>
    <n v="3016"/>
    <d v="1899-12-30T00:43:12"/>
    <n v="2925.52"/>
    <d v="2021-01-29T00:00:00"/>
    <d v="2021-01-29T00:00:00"/>
    <n v="716"/>
    <n v="4"/>
    <x v="3"/>
    <n v="0.1"/>
    <n v="292.55200000000002"/>
    <n v="2"/>
    <x v="0"/>
  </r>
  <r>
    <n v="717"/>
    <x v="318"/>
    <n v="61"/>
    <s v="Petrópolis"/>
    <x v="2"/>
    <n v="29"/>
    <n v="97"/>
    <n v="2813"/>
    <d v="1899-12-30T00:00:00"/>
    <n v="2813"/>
    <d v="2021-02-08T00:00:00"/>
    <d v="2021-02-08T00:00:00"/>
    <n v="717"/>
    <n v="1"/>
    <x v="0"/>
    <n v="0.06"/>
    <n v="168.78"/>
    <n v="3"/>
    <x v="0"/>
  </r>
  <r>
    <n v="718"/>
    <x v="319"/>
    <n v="83"/>
    <s v="Queimados"/>
    <x v="0"/>
    <n v="16"/>
    <n v="92"/>
    <n v="1472"/>
    <d v="1899-12-30T00:57:36"/>
    <n v="1413.12"/>
    <d v="2021-02-02T00:00:00"/>
    <d v="2021-02-02T00:00:00"/>
    <n v="718"/>
    <n v="1"/>
    <x v="5"/>
    <n v="0.08"/>
    <n v="113.0496"/>
    <n v="4"/>
    <x v="0"/>
  </r>
  <r>
    <n v="719"/>
    <x v="320"/>
    <n v="30"/>
    <s v="Vitória da Conquista"/>
    <x v="3"/>
    <n v="23"/>
    <n v="109"/>
    <n v="2507"/>
    <d v="1899-12-30T00:57:36"/>
    <n v="2406.7199999999998"/>
    <d v="2021-02-12T00:00:00"/>
    <d v="2021-02-12T00:00:00"/>
    <n v="719"/>
    <n v="4"/>
    <x v="8"/>
    <n v="0.1"/>
    <n v="240.672"/>
    <n v="5"/>
    <x v="0"/>
  </r>
  <r>
    <n v="720"/>
    <x v="320"/>
    <n v="93"/>
    <s v="Salvador"/>
    <x v="2"/>
    <n v="50"/>
    <n v="120"/>
    <n v="6000"/>
    <d v="1899-12-30T01:55:12"/>
    <n v="5520"/>
    <d v="2021-02-16T00:00:00"/>
    <d v="2021-02-16T00:00:00"/>
    <n v="720"/>
    <n v="1"/>
    <x v="8"/>
    <n v="0.1"/>
    <n v="552"/>
    <n v="6"/>
    <x v="0"/>
  </r>
  <r>
    <n v="721"/>
    <x v="321"/>
    <n v="38"/>
    <s v="Belo Horizonte"/>
    <x v="9"/>
    <n v="37"/>
    <n v="109"/>
    <n v="4033"/>
    <d v="1899-12-30T01:12:00"/>
    <n v="3831.35"/>
    <d v="2021-01-29T00:00:00"/>
    <d v="2021-01-29T00:00:00"/>
    <n v="721"/>
    <n v="5"/>
    <x v="5"/>
    <n v="0.05"/>
    <n v="191.5675"/>
    <n v="7"/>
    <x v="0"/>
  </r>
  <r>
    <n v="722"/>
    <x v="321"/>
    <n v="95"/>
    <s v="São Paulo"/>
    <x v="0"/>
    <n v="23"/>
    <n v="108"/>
    <n v="2484"/>
    <d v="1899-12-30T00:14:24"/>
    <n v="2459.16"/>
    <d v="2021-02-17T00:00:00"/>
    <d v="2021-02-17T00:00:00"/>
    <n v="722"/>
    <n v="2"/>
    <x v="4"/>
    <n v="0.05"/>
    <n v="122.958"/>
    <n v="1"/>
    <x v="0"/>
  </r>
  <r>
    <n v="723"/>
    <x v="322"/>
    <n v="81"/>
    <s v="Duque de Caxias"/>
    <x v="1"/>
    <n v="11"/>
    <n v="91"/>
    <n v="1001"/>
    <d v="1899-12-30T00:57:36"/>
    <n v="960.96"/>
    <d v="2021-02-23T00:00:00"/>
    <d v="2021-02-23T00:00:00"/>
    <n v="723"/>
    <n v="3"/>
    <x v="8"/>
    <n v="0.08"/>
    <n v="76.876800000000003"/>
    <n v="2"/>
    <x v="0"/>
  </r>
  <r>
    <n v="724"/>
    <x v="323"/>
    <n v="84"/>
    <s v="Manaus"/>
    <x v="1"/>
    <n v="16"/>
    <n v="119"/>
    <n v="1904"/>
    <d v="1899-12-30T01:55:12"/>
    <n v="1751.68"/>
    <d v="2021-02-26T00:00:00"/>
    <d v="2021-02-26T00:00:00"/>
    <n v="724"/>
    <n v="3"/>
    <x v="2"/>
    <n v="0.06"/>
    <n v="105.10080000000001"/>
    <n v="3"/>
    <x v="0"/>
  </r>
  <r>
    <n v="725"/>
    <x v="323"/>
    <n v="96"/>
    <s v="Santana de Parnaíba"/>
    <x v="0"/>
    <n v="13"/>
    <n v="107"/>
    <n v="1391"/>
    <d v="1899-12-30T03:21:36"/>
    <n v="1196.26"/>
    <d v="2021-02-03T00:00:00"/>
    <d v="2021-02-03T00:00:00"/>
    <n v="725"/>
    <n v="7"/>
    <x v="5"/>
    <n v="0.09"/>
    <n v="107.6634"/>
    <n v="4"/>
    <x v="0"/>
  </r>
  <r>
    <n v="726"/>
    <x v="324"/>
    <n v="18"/>
    <s v="Bagé"/>
    <x v="0"/>
    <n v="43"/>
    <n v="90"/>
    <n v="3870"/>
    <d v="1899-12-30T01:26:24"/>
    <n v="3637.8"/>
    <d v="2021-02-26T00:00:00"/>
    <d v="2021-02-26T00:00:00"/>
    <n v="726"/>
    <n v="3"/>
    <x v="7"/>
    <n v="0.08"/>
    <n v="291.024"/>
    <n v="5"/>
    <x v="1"/>
  </r>
  <r>
    <n v="727"/>
    <x v="324"/>
    <n v="6"/>
    <s v="Jaú"/>
    <x v="8"/>
    <n v="27"/>
    <n v="97"/>
    <n v="2619"/>
    <d v="1899-12-30T00:28:48"/>
    <n v="2566.62"/>
    <d v="2021-03-01T00:00:00"/>
    <d v="2021-03-01T00:00:00"/>
    <n v="727"/>
    <n v="6"/>
    <x v="8"/>
    <n v="0.08"/>
    <n v="205.3296"/>
    <n v="6"/>
    <x v="1"/>
  </r>
  <r>
    <n v="728"/>
    <x v="324"/>
    <n v="76"/>
    <s v="Coronel Fabriciano"/>
    <x v="5"/>
    <n v="34"/>
    <n v="120"/>
    <n v="4080"/>
    <d v="1899-12-30T00:28:48"/>
    <n v="3998.4"/>
    <d v="2021-02-04T00:00:00"/>
    <d v="2021-02-04T00:00:00"/>
    <n v="728"/>
    <n v="7"/>
    <x v="4"/>
    <n v="0.09"/>
    <n v="359.85599999999999"/>
    <n v="7"/>
    <x v="1"/>
  </r>
  <r>
    <n v="729"/>
    <x v="325"/>
    <n v="32"/>
    <s v="Vila Velha"/>
    <x v="2"/>
    <n v="46"/>
    <n v="93"/>
    <n v="4278"/>
    <d v="1899-12-30T00:00:00"/>
    <n v="4278"/>
    <d v="2021-02-28T00:00:00"/>
    <d v="2021-02-28T00:00:00"/>
    <n v="729"/>
    <n v="6"/>
    <x v="0"/>
    <n v="0.09"/>
    <n v="385.02"/>
    <n v="1"/>
    <x v="1"/>
  </r>
  <r>
    <n v="730"/>
    <x v="325"/>
    <n v="5"/>
    <s v="São Paulo"/>
    <x v="5"/>
    <n v="45"/>
    <n v="91"/>
    <n v="4095"/>
    <d v="1899-12-30T00:43:12"/>
    <n v="3972.15"/>
    <d v="2021-02-26T00:00:00"/>
    <d v="2021-02-26T00:00:00"/>
    <n v="730"/>
    <n v="5"/>
    <x v="9"/>
    <n v="7.0000000000000007E-2"/>
    <n v="278.05050000000006"/>
    <n v="2"/>
    <x v="1"/>
  </r>
  <r>
    <n v="731"/>
    <x v="326"/>
    <n v="31"/>
    <s v="Juiz de Fora"/>
    <x v="4"/>
    <n v="50"/>
    <n v="104"/>
    <n v="5200"/>
    <d v="1899-12-30T03:36:00"/>
    <n v="4420"/>
    <d v="2021-02-25T00:00:00"/>
    <d v="2021-02-25T00:00:00"/>
    <n v="731"/>
    <n v="7"/>
    <x v="7"/>
    <n v="0.06"/>
    <n v="265.2"/>
    <n v="3"/>
    <x v="1"/>
  </r>
  <r>
    <n v="732"/>
    <x v="326"/>
    <n v="72"/>
    <s v="São Paulo"/>
    <x v="0"/>
    <n v="32"/>
    <n v="99"/>
    <n v="3168"/>
    <d v="1899-12-30T01:40:48"/>
    <n v="2946.24"/>
    <d v="2021-02-22T00:00:00"/>
    <d v="2021-02-22T00:00:00"/>
    <n v="732"/>
    <n v="5"/>
    <x v="1"/>
    <n v="7.0000000000000007E-2"/>
    <n v="206.23680000000002"/>
    <n v="4"/>
    <x v="1"/>
  </r>
  <r>
    <n v="733"/>
    <x v="326"/>
    <n v="55"/>
    <s v="Manaus"/>
    <x v="6"/>
    <n v="19"/>
    <n v="111"/>
    <n v="2109"/>
    <d v="1899-12-30T00:28:48"/>
    <n v="2066.8200000000002"/>
    <d v="2021-02-21T00:00:00"/>
    <d v="2021-02-21T00:00:00"/>
    <n v="733"/>
    <n v="4"/>
    <x v="6"/>
    <n v="0.06"/>
    <n v="124.00920000000001"/>
    <n v="5"/>
    <x v="1"/>
  </r>
  <r>
    <n v="734"/>
    <x v="326"/>
    <n v="7"/>
    <s v="Cabo de Santo Agostinho"/>
    <x v="6"/>
    <n v="25"/>
    <n v="107"/>
    <n v="2675"/>
    <d v="1899-12-30T00:28:48"/>
    <n v="2621.5"/>
    <d v="2021-03-04T00:00:00"/>
    <d v="2021-03-04T00:00:00"/>
    <n v="734"/>
    <n v="6"/>
    <x v="7"/>
    <n v="0.06"/>
    <n v="157.29"/>
    <n v="6"/>
    <x v="1"/>
  </r>
  <r>
    <n v="735"/>
    <x v="327"/>
    <n v="19"/>
    <s v="São Paulo"/>
    <x v="6"/>
    <n v="20"/>
    <n v="107"/>
    <n v="2140"/>
    <d v="1899-12-30T01:12:00"/>
    <n v="2033"/>
    <d v="2021-02-14T00:00:00"/>
    <d v="2021-02-14T00:00:00"/>
    <n v="735"/>
    <n v="2"/>
    <x v="0"/>
    <n v="0.09"/>
    <n v="182.97"/>
    <n v="7"/>
    <x v="1"/>
  </r>
  <r>
    <n v="736"/>
    <x v="327"/>
    <n v="7"/>
    <s v="Cabo de Santo Agostinho"/>
    <x v="3"/>
    <n v="27"/>
    <n v="112"/>
    <n v="3024"/>
    <d v="1899-12-30T00:57:36"/>
    <n v="2903.04"/>
    <d v="2021-02-06T00:00:00"/>
    <d v="2021-02-06T00:00:00"/>
    <n v="736"/>
    <n v="1"/>
    <x v="8"/>
    <n v="0.09"/>
    <n v="261.27359999999999"/>
    <n v="1"/>
    <x v="1"/>
  </r>
  <r>
    <n v="737"/>
    <x v="327"/>
    <n v="47"/>
    <s v="Fortaleza"/>
    <x v="7"/>
    <n v="28"/>
    <n v="113"/>
    <n v="3164"/>
    <d v="1899-12-30T00:57:36"/>
    <n v="3037.44"/>
    <d v="2021-02-06T00:00:00"/>
    <d v="2021-02-06T00:00:00"/>
    <n v="737"/>
    <n v="6"/>
    <x v="5"/>
    <n v="0.09"/>
    <n v="273.36959999999999"/>
    <n v="2"/>
    <x v="1"/>
  </r>
  <r>
    <n v="738"/>
    <x v="327"/>
    <n v="48"/>
    <s v="Guarulhos"/>
    <x v="7"/>
    <n v="33"/>
    <n v="110"/>
    <n v="3630"/>
    <d v="1899-12-30T00:00:00"/>
    <n v="3630"/>
    <d v="2021-02-28T00:00:00"/>
    <d v="2021-02-28T00:00:00"/>
    <n v="738"/>
    <n v="4"/>
    <x v="9"/>
    <n v="7.0000000000000007E-2"/>
    <n v="254.10000000000002"/>
    <n v="3"/>
    <x v="1"/>
  </r>
  <r>
    <n v="739"/>
    <x v="328"/>
    <n v="37"/>
    <s v="Arcoverde"/>
    <x v="3"/>
    <n v="16"/>
    <n v="92"/>
    <n v="1472"/>
    <d v="1899-12-30T03:21:36"/>
    <n v="1265.92"/>
    <d v="2021-02-08T00:00:00"/>
    <d v="2021-02-08T00:00:00"/>
    <n v="739"/>
    <n v="7"/>
    <x v="5"/>
    <n v="0.08"/>
    <n v="101.2736"/>
    <n v="4"/>
    <x v="1"/>
  </r>
  <r>
    <n v="740"/>
    <x v="329"/>
    <n v="65"/>
    <s v="Ariquemes"/>
    <x v="6"/>
    <n v="15"/>
    <n v="99"/>
    <n v="1485"/>
    <d v="1899-12-30T02:52:48"/>
    <n v="1306.8"/>
    <d v="2021-02-23T00:00:00"/>
    <d v="2021-02-23T00:00:00"/>
    <n v="740"/>
    <n v="4"/>
    <x v="4"/>
    <n v="0.06"/>
    <n v="78.408000000000001"/>
    <n v="5"/>
    <x v="1"/>
  </r>
  <r>
    <n v="741"/>
    <x v="330"/>
    <n v="7"/>
    <s v="Cabo de Santo Agostinho"/>
    <x v="5"/>
    <n v="44"/>
    <n v="101"/>
    <n v="4444"/>
    <d v="1899-12-30T01:55:12"/>
    <n v="4088.48"/>
    <d v="2021-03-08T00:00:00"/>
    <d v="2021-03-08T00:00:00"/>
    <n v="741"/>
    <n v="1"/>
    <x v="0"/>
    <n v="0.06"/>
    <n v="245.30879999999999"/>
    <n v="6"/>
    <x v="1"/>
  </r>
  <r>
    <n v="742"/>
    <x v="330"/>
    <n v="28"/>
    <s v="João Pessoa"/>
    <x v="2"/>
    <n v="30"/>
    <n v="119"/>
    <n v="3570"/>
    <d v="1899-12-30T03:36:00"/>
    <n v="3034.5"/>
    <d v="2021-03-10T00:00:00"/>
    <d v="2021-03-10T00:00:00"/>
    <n v="742"/>
    <n v="4"/>
    <x v="2"/>
    <n v="7.0000000000000007E-2"/>
    <n v="212.41500000000002"/>
    <n v="7"/>
    <x v="1"/>
  </r>
  <r>
    <n v="743"/>
    <x v="331"/>
    <n v="23"/>
    <s v="Santa Bárbara D'Oeste"/>
    <x v="5"/>
    <n v="19"/>
    <n v="98"/>
    <n v="1862"/>
    <d v="1899-12-30T00:00:00"/>
    <n v="1862"/>
    <d v="2021-02-22T00:00:00"/>
    <d v="2021-02-22T00:00:00"/>
    <n v="743"/>
    <n v="5"/>
    <x v="5"/>
    <n v="7.0000000000000007E-2"/>
    <n v="130.34"/>
    <n v="1"/>
    <x v="1"/>
  </r>
  <r>
    <n v="744"/>
    <x v="332"/>
    <n v="29"/>
    <s v="Teófilo Otoni"/>
    <x v="6"/>
    <n v="49"/>
    <n v="92"/>
    <n v="4508"/>
    <d v="1899-12-30T00:28:48"/>
    <n v="4417.84"/>
    <d v="2021-02-12T00:00:00"/>
    <d v="2021-02-12T00:00:00"/>
    <n v="744"/>
    <n v="5"/>
    <x v="4"/>
    <n v="0.08"/>
    <n v="353.42720000000003"/>
    <n v="2"/>
    <x v="1"/>
  </r>
  <r>
    <n v="745"/>
    <x v="333"/>
    <n v="42"/>
    <s v="Mauá"/>
    <x v="1"/>
    <n v="19"/>
    <n v="92"/>
    <n v="1748"/>
    <d v="1899-12-30T00:43:12"/>
    <n v="1695.56"/>
    <d v="2021-03-03T00:00:00"/>
    <d v="2021-03-03T00:00:00"/>
    <n v="745"/>
    <n v="5"/>
    <x v="0"/>
    <n v="7.0000000000000007E-2"/>
    <n v="118.68920000000001"/>
    <n v="3"/>
    <x v="1"/>
  </r>
  <r>
    <n v="746"/>
    <x v="334"/>
    <n v="16"/>
    <s v="Eunápolis"/>
    <x v="1"/>
    <n v="29"/>
    <n v="96"/>
    <n v="2784"/>
    <d v="1899-12-30T01:40:48"/>
    <n v="2589.12"/>
    <d v="2021-03-11T00:00:00"/>
    <d v="2021-03-11T00:00:00"/>
    <n v="746"/>
    <n v="5"/>
    <x v="7"/>
    <n v="0.08"/>
    <n v="207.12959999999998"/>
    <n v="4"/>
    <x v="1"/>
  </r>
  <r>
    <n v="747"/>
    <x v="334"/>
    <n v="74"/>
    <s v="São Paulo"/>
    <x v="8"/>
    <n v="32"/>
    <n v="103"/>
    <n v="3296"/>
    <d v="1899-12-30T00:43:12"/>
    <n v="3197.12"/>
    <d v="2021-02-16T00:00:00"/>
    <d v="2021-02-16T00:00:00"/>
    <n v="747"/>
    <n v="1"/>
    <x v="3"/>
    <n v="0.08"/>
    <n v="255.7696"/>
    <n v="5"/>
    <x v="1"/>
  </r>
  <r>
    <n v="748"/>
    <x v="334"/>
    <n v="30"/>
    <s v="Vitória da Conquista"/>
    <x v="1"/>
    <n v="38"/>
    <n v="117"/>
    <n v="4446"/>
    <d v="1899-12-30T03:21:36"/>
    <n v="3823.56"/>
    <d v="2021-02-25T00:00:00"/>
    <d v="2021-02-25T00:00:00"/>
    <n v="748"/>
    <n v="6"/>
    <x v="1"/>
    <n v="7.0000000000000007E-2"/>
    <n v="267.64920000000001"/>
    <n v="6"/>
    <x v="1"/>
  </r>
  <r>
    <n v="749"/>
    <x v="335"/>
    <n v="94"/>
    <s v="Goiânia"/>
    <x v="5"/>
    <n v="18"/>
    <n v="97"/>
    <n v="1746"/>
    <d v="1899-12-30T01:26:24"/>
    <n v="1641.24"/>
    <d v="2021-03-17T00:00:00"/>
    <d v="2021-03-17T00:00:00"/>
    <n v="749"/>
    <n v="7"/>
    <x v="5"/>
    <n v="0.08"/>
    <n v="131.29920000000001"/>
    <n v="7"/>
    <x v="1"/>
  </r>
  <r>
    <n v="750"/>
    <x v="335"/>
    <n v="62"/>
    <s v="São Paulo"/>
    <x v="9"/>
    <n v="47"/>
    <n v="90"/>
    <n v="4230"/>
    <d v="1899-12-30T01:26:24"/>
    <n v="3976.2"/>
    <d v="2021-03-11T00:00:00"/>
    <d v="2021-03-11T00:00:00"/>
    <n v="750"/>
    <n v="7"/>
    <x v="9"/>
    <n v="0.05"/>
    <n v="198.81"/>
    <n v="1"/>
    <x v="1"/>
  </r>
  <r>
    <n v="751"/>
    <x v="336"/>
    <n v="12"/>
    <s v="São José do Rio Preto"/>
    <x v="7"/>
    <n v="49"/>
    <n v="117"/>
    <n v="5733"/>
    <d v="1899-12-30T00:57:36"/>
    <n v="5503.68"/>
    <d v="2021-03-18T00:00:00"/>
    <d v="2021-03-18T00:00:00"/>
    <n v="751"/>
    <n v="1"/>
    <x v="3"/>
    <n v="0.09"/>
    <n v="495.33120000000002"/>
    <n v="2"/>
    <x v="1"/>
  </r>
  <r>
    <n v="752"/>
    <x v="337"/>
    <n v="54"/>
    <s v="São Gonçalo"/>
    <x v="7"/>
    <n v="49"/>
    <n v="115"/>
    <n v="5635"/>
    <d v="1899-12-30T03:36:00"/>
    <n v="4789.75"/>
    <d v="2021-03-15T00:00:00"/>
    <d v="2021-03-15T00:00:00"/>
    <n v="752"/>
    <n v="3"/>
    <x v="5"/>
    <n v="0.08"/>
    <n v="383.18"/>
    <n v="3"/>
    <x v="1"/>
  </r>
  <r>
    <n v="753"/>
    <x v="338"/>
    <n v="84"/>
    <s v="Manaus"/>
    <x v="7"/>
    <n v="11"/>
    <n v="113"/>
    <n v="1243"/>
    <d v="1899-12-30T03:07:12"/>
    <n v="1081.4100000000001"/>
    <d v="2021-03-10T00:00:00"/>
    <d v="2021-03-10T00:00:00"/>
    <n v="753"/>
    <n v="1"/>
    <x v="1"/>
    <n v="7.0000000000000007E-2"/>
    <n v="75.698700000000017"/>
    <n v="4"/>
    <x v="1"/>
  </r>
  <r>
    <n v="754"/>
    <x v="338"/>
    <n v="79"/>
    <s v="Salvador"/>
    <x v="3"/>
    <n v="19"/>
    <n v="115"/>
    <n v="2185"/>
    <d v="1899-12-30T01:40:48"/>
    <n v="2032.05"/>
    <d v="2021-03-16T00:00:00"/>
    <d v="2021-03-16T00:00:00"/>
    <n v="754"/>
    <n v="5"/>
    <x v="5"/>
    <n v="0.05"/>
    <n v="101.60250000000001"/>
    <n v="5"/>
    <x v="1"/>
  </r>
  <r>
    <n v="755"/>
    <x v="339"/>
    <n v="93"/>
    <s v="Salvador"/>
    <x v="6"/>
    <n v="44"/>
    <n v="105"/>
    <n v="4620"/>
    <d v="1899-12-30T00:57:36"/>
    <n v="4435.2"/>
    <d v="2021-03-14T00:00:00"/>
    <d v="2021-03-14T00:00:00"/>
    <n v="755"/>
    <n v="4"/>
    <x v="1"/>
    <n v="7.0000000000000007E-2"/>
    <n v="310.464"/>
    <n v="6"/>
    <x v="1"/>
  </r>
  <r>
    <n v="756"/>
    <x v="339"/>
    <n v="83"/>
    <s v="Queimados"/>
    <x v="5"/>
    <n v="20"/>
    <n v="90"/>
    <n v="1800"/>
    <d v="1899-12-30T00:00:00"/>
    <n v="1800"/>
    <d v="2021-03-03T00:00:00"/>
    <d v="2021-03-03T00:00:00"/>
    <n v="756"/>
    <n v="6"/>
    <x v="5"/>
    <n v="0.05"/>
    <n v="90"/>
    <n v="7"/>
    <x v="1"/>
  </r>
  <r>
    <n v="757"/>
    <x v="339"/>
    <n v="87"/>
    <s v="Fortaleza"/>
    <x v="6"/>
    <n v="39"/>
    <n v="105"/>
    <n v="4095"/>
    <d v="1899-12-30T01:55:12"/>
    <n v="3767.4"/>
    <d v="2021-02-28T00:00:00"/>
    <d v="2021-02-28T00:00:00"/>
    <n v="757"/>
    <n v="7"/>
    <x v="1"/>
    <n v="0.08"/>
    <n v="301.392"/>
    <n v="1"/>
    <x v="1"/>
  </r>
  <r>
    <n v="758"/>
    <x v="339"/>
    <n v="34"/>
    <s v="Brusque"/>
    <x v="1"/>
    <n v="14"/>
    <n v="106"/>
    <n v="1484"/>
    <d v="1899-12-30T02:52:48"/>
    <n v="1305.92"/>
    <d v="2021-02-24T00:00:00"/>
    <d v="2021-02-24T00:00:00"/>
    <n v="758"/>
    <n v="1"/>
    <x v="1"/>
    <n v="0.1"/>
    <n v="130.59200000000001"/>
    <n v="2"/>
    <x v="1"/>
  </r>
  <r>
    <n v="759"/>
    <x v="340"/>
    <n v="94"/>
    <s v="Goiânia"/>
    <x v="3"/>
    <n v="12"/>
    <n v="90"/>
    <n v="1080"/>
    <d v="1899-12-30T01:12:00"/>
    <n v="1026"/>
    <d v="2021-03-01T00:00:00"/>
    <d v="2021-03-01T00:00:00"/>
    <n v="759"/>
    <n v="7"/>
    <x v="9"/>
    <n v="0.08"/>
    <n v="82.08"/>
    <n v="3"/>
    <x v="1"/>
  </r>
  <r>
    <n v="760"/>
    <x v="340"/>
    <n v="84"/>
    <s v="Manaus"/>
    <x v="1"/>
    <n v="27"/>
    <n v="100"/>
    <n v="2700"/>
    <d v="1899-12-30T02:38:24"/>
    <n v="2403"/>
    <d v="2021-03-06T00:00:00"/>
    <d v="2021-03-06T00:00:00"/>
    <n v="760"/>
    <n v="3"/>
    <x v="6"/>
    <n v="7.0000000000000007E-2"/>
    <n v="168.21"/>
    <n v="4"/>
    <x v="1"/>
  </r>
  <r>
    <n v="761"/>
    <x v="341"/>
    <n v="74"/>
    <s v="São Paulo"/>
    <x v="5"/>
    <n v="27"/>
    <n v="90"/>
    <n v="2430"/>
    <d v="1899-12-30T03:21:36"/>
    <n v="2089.8000000000002"/>
    <d v="2021-02-21T00:00:00"/>
    <d v="2021-02-21T00:00:00"/>
    <n v="761"/>
    <n v="5"/>
    <x v="2"/>
    <n v="0.08"/>
    <n v="167.18400000000003"/>
    <n v="5"/>
    <x v="1"/>
  </r>
  <r>
    <n v="762"/>
    <x v="341"/>
    <n v="26"/>
    <s v="Araçatuba"/>
    <x v="2"/>
    <n v="48"/>
    <n v="96"/>
    <n v="4608"/>
    <d v="1899-12-30T03:07:12"/>
    <n v="4008.96"/>
    <d v="2021-03-23T00:00:00"/>
    <d v="2021-03-23T00:00:00"/>
    <n v="762"/>
    <n v="2"/>
    <x v="7"/>
    <n v="7.0000000000000007E-2"/>
    <n v="280.62720000000002"/>
    <n v="6"/>
    <x v="1"/>
  </r>
  <r>
    <n v="763"/>
    <x v="341"/>
    <n v="53"/>
    <s v="Jaú"/>
    <x v="6"/>
    <n v="41"/>
    <n v="100"/>
    <n v="4100"/>
    <d v="1899-12-30T00:00:00"/>
    <n v="4100"/>
    <d v="2021-03-16T00:00:00"/>
    <d v="2021-03-16T00:00:00"/>
    <n v="763"/>
    <n v="5"/>
    <x v="6"/>
    <n v="0.06"/>
    <n v="246"/>
    <n v="7"/>
    <x v="1"/>
  </r>
  <r>
    <n v="764"/>
    <x v="341"/>
    <n v="65"/>
    <s v="Ariquemes"/>
    <x v="3"/>
    <n v="45"/>
    <n v="112"/>
    <n v="5040"/>
    <d v="1899-12-30T01:12:00"/>
    <n v="4788"/>
    <d v="2021-02-22T00:00:00"/>
    <d v="2021-02-22T00:00:00"/>
    <n v="764"/>
    <n v="3"/>
    <x v="1"/>
    <n v="0.09"/>
    <n v="430.91999999999996"/>
    <n v="1"/>
    <x v="1"/>
  </r>
  <r>
    <n v="765"/>
    <x v="341"/>
    <n v="18"/>
    <s v="Bagé"/>
    <x v="3"/>
    <n v="20"/>
    <n v="92"/>
    <n v="1840"/>
    <d v="1899-12-30T03:36:00"/>
    <n v="1564"/>
    <d v="2021-03-15T00:00:00"/>
    <d v="2021-03-15T00:00:00"/>
    <n v="765"/>
    <n v="3"/>
    <x v="4"/>
    <n v="0.05"/>
    <n v="78.2"/>
    <n v="2"/>
    <x v="1"/>
  </r>
  <r>
    <n v="766"/>
    <x v="341"/>
    <n v="94"/>
    <s v="Goiânia"/>
    <x v="3"/>
    <n v="28"/>
    <n v="105"/>
    <n v="2940"/>
    <d v="1899-12-30T00:28:48"/>
    <n v="2881.2"/>
    <d v="2021-02-23T00:00:00"/>
    <d v="2021-02-23T00:00:00"/>
    <n v="766"/>
    <n v="5"/>
    <x v="1"/>
    <n v="0.1"/>
    <n v="288.12"/>
    <n v="3"/>
    <x v="1"/>
  </r>
  <r>
    <n v="767"/>
    <x v="342"/>
    <n v="38"/>
    <s v="Belo Horizonte"/>
    <x v="5"/>
    <n v="38"/>
    <n v="119"/>
    <n v="4522"/>
    <d v="1899-12-30T00:57:36"/>
    <n v="4341.12"/>
    <d v="2021-03-04T00:00:00"/>
    <d v="2021-03-04T00:00:00"/>
    <n v="767"/>
    <n v="4"/>
    <x v="3"/>
    <n v="0.06"/>
    <n v="260.46719999999999"/>
    <n v="4"/>
    <x v="1"/>
  </r>
  <r>
    <n v="768"/>
    <x v="342"/>
    <n v="23"/>
    <s v="Santa Bárbara D'Oeste"/>
    <x v="5"/>
    <n v="29"/>
    <n v="109"/>
    <n v="3161"/>
    <d v="1899-12-30T02:09:36"/>
    <n v="2876.51"/>
    <d v="2021-03-23T00:00:00"/>
    <d v="2021-03-23T00:00:00"/>
    <n v="768"/>
    <n v="3"/>
    <x v="0"/>
    <n v="0.05"/>
    <n v="143.82550000000001"/>
    <n v="5"/>
    <x v="1"/>
  </r>
  <r>
    <n v="769"/>
    <x v="342"/>
    <n v="89"/>
    <s v="Goiânia"/>
    <x v="3"/>
    <n v="11"/>
    <n v="106"/>
    <n v="1166"/>
    <d v="1899-12-30T01:26:24"/>
    <n v="1096.04"/>
    <d v="2021-03-24T00:00:00"/>
    <d v="2021-03-24T00:00:00"/>
    <n v="769"/>
    <n v="7"/>
    <x v="4"/>
    <n v="0.05"/>
    <n v="54.802"/>
    <n v="6"/>
    <x v="1"/>
  </r>
  <r>
    <n v="770"/>
    <x v="343"/>
    <n v="96"/>
    <s v="Santana de Parnaíba"/>
    <x v="8"/>
    <n v="20"/>
    <n v="102"/>
    <n v="2040"/>
    <d v="1899-12-30T01:55:12"/>
    <n v="1876.8"/>
    <d v="2021-03-12T00:00:00"/>
    <d v="2021-03-12T00:00:00"/>
    <n v="770"/>
    <n v="5"/>
    <x v="7"/>
    <n v="0.08"/>
    <n v="150.14400000000001"/>
    <n v="7"/>
    <x v="1"/>
  </r>
  <r>
    <n v="771"/>
    <x v="343"/>
    <n v="86"/>
    <s v="Jataí"/>
    <x v="2"/>
    <n v="33"/>
    <n v="118"/>
    <n v="3894"/>
    <d v="1899-12-30T02:09:36"/>
    <n v="3543.54"/>
    <d v="2021-03-05T00:00:00"/>
    <d v="2021-03-05T00:00:00"/>
    <n v="771"/>
    <n v="7"/>
    <x v="6"/>
    <n v="0.05"/>
    <n v="177.17700000000002"/>
    <n v="1"/>
    <x v="1"/>
  </r>
  <r>
    <n v="772"/>
    <x v="344"/>
    <n v="51"/>
    <s v="Avaré"/>
    <x v="2"/>
    <n v="19"/>
    <n v="99"/>
    <n v="1881"/>
    <d v="1899-12-30T01:26:24"/>
    <n v="1768.14"/>
    <d v="2021-03-20T00:00:00"/>
    <d v="2021-03-20T00:00:00"/>
    <n v="772"/>
    <n v="6"/>
    <x v="8"/>
    <n v="0.08"/>
    <n v="141.4512"/>
    <n v="2"/>
    <x v="1"/>
  </r>
  <r>
    <n v="773"/>
    <x v="344"/>
    <n v="33"/>
    <s v="Ituiutaba"/>
    <x v="6"/>
    <n v="36"/>
    <n v="98"/>
    <n v="3528"/>
    <d v="1899-12-30T02:24:00"/>
    <n v="3175.2"/>
    <d v="2021-03-24T00:00:00"/>
    <d v="2021-03-24T00:00:00"/>
    <n v="773"/>
    <n v="1"/>
    <x v="8"/>
    <n v="0.09"/>
    <n v="285.76799999999997"/>
    <n v="3"/>
    <x v="1"/>
  </r>
  <r>
    <n v="774"/>
    <x v="345"/>
    <n v="60"/>
    <s v="Serra"/>
    <x v="3"/>
    <n v="28"/>
    <n v="97"/>
    <n v="2716"/>
    <d v="1899-12-30T01:26:24"/>
    <n v="2553.04"/>
    <d v="2021-03-05T00:00:00"/>
    <d v="2021-03-05T00:00:00"/>
    <n v="774"/>
    <n v="1"/>
    <x v="9"/>
    <n v="0.08"/>
    <n v="204.2432"/>
    <n v="4"/>
    <x v="1"/>
  </r>
  <r>
    <n v="775"/>
    <x v="345"/>
    <n v="75"/>
    <s v="São Paulo"/>
    <x v="1"/>
    <n v="39"/>
    <n v="113"/>
    <n v="4407"/>
    <d v="1899-12-30T02:24:00"/>
    <n v="3966.3"/>
    <d v="2021-03-27T00:00:00"/>
    <d v="2021-03-27T00:00:00"/>
    <n v="775"/>
    <n v="5"/>
    <x v="1"/>
    <n v="0.06"/>
    <n v="237.97800000000001"/>
    <n v="5"/>
    <x v="1"/>
  </r>
  <r>
    <n v="776"/>
    <x v="345"/>
    <n v="62"/>
    <s v="São Paulo"/>
    <x v="6"/>
    <n v="35"/>
    <n v="98"/>
    <n v="3430"/>
    <d v="1899-12-30T00:28:48"/>
    <n v="3361.4"/>
    <d v="2021-03-27T00:00:00"/>
    <d v="2021-03-27T00:00:00"/>
    <n v="776"/>
    <n v="7"/>
    <x v="6"/>
    <n v="0.05"/>
    <n v="168.07000000000002"/>
    <n v="6"/>
    <x v="1"/>
  </r>
  <r>
    <n v="777"/>
    <x v="345"/>
    <n v="21"/>
    <s v="Vitória"/>
    <x v="2"/>
    <n v="13"/>
    <n v="106"/>
    <n v="1378"/>
    <d v="1899-12-30T00:00:00"/>
    <n v="1378"/>
    <d v="2021-02-28T00:00:00"/>
    <d v="2021-02-28T00:00:00"/>
    <n v="777"/>
    <n v="4"/>
    <x v="1"/>
    <n v="0.05"/>
    <n v="68.900000000000006"/>
    <n v="7"/>
    <x v="1"/>
  </r>
  <r>
    <n v="778"/>
    <x v="346"/>
    <n v="17"/>
    <s v="Rio de Janeiro"/>
    <x v="5"/>
    <n v="10"/>
    <n v="104"/>
    <n v="1040"/>
    <d v="1899-12-30T02:52:48"/>
    <n v="915.2"/>
    <d v="2021-03-09T00:00:00"/>
    <d v="2021-03-09T00:00:00"/>
    <n v="778"/>
    <n v="2"/>
    <x v="7"/>
    <n v="0.09"/>
    <n v="82.367999999999995"/>
    <n v="1"/>
    <x v="1"/>
  </r>
  <r>
    <n v="779"/>
    <x v="346"/>
    <n v="49"/>
    <s v="São Paulo"/>
    <x v="7"/>
    <n v="37"/>
    <n v="112"/>
    <n v="4144"/>
    <d v="1899-12-30T00:43:12"/>
    <n v="4019.68"/>
    <d v="2021-03-14T00:00:00"/>
    <d v="2021-03-14T00:00:00"/>
    <n v="779"/>
    <n v="4"/>
    <x v="3"/>
    <n v="0.08"/>
    <n v="321.57439999999997"/>
    <n v="2"/>
    <x v="1"/>
  </r>
  <r>
    <n v="780"/>
    <x v="346"/>
    <n v="24"/>
    <s v="Viamão"/>
    <x v="7"/>
    <n v="30"/>
    <n v="110"/>
    <n v="3300"/>
    <d v="1899-12-30T00:14:24"/>
    <n v="3267"/>
    <d v="2021-03-21T00:00:00"/>
    <d v="2021-03-21T00:00:00"/>
    <n v="780"/>
    <n v="2"/>
    <x v="0"/>
    <n v="0.08"/>
    <n v="261.36"/>
    <n v="3"/>
    <x v="1"/>
  </r>
  <r>
    <n v="781"/>
    <x v="347"/>
    <n v="14"/>
    <s v="Eunápolis"/>
    <x v="6"/>
    <n v="45"/>
    <n v="104"/>
    <n v="4680"/>
    <d v="1899-12-30T03:07:12"/>
    <n v="4071.6"/>
    <d v="2021-03-29T00:00:00"/>
    <d v="2021-03-29T00:00:00"/>
    <n v="781"/>
    <n v="3"/>
    <x v="6"/>
    <n v="0.06"/>
    <n v="244.29599999999999"/>
    <n v="4"/>
    <x v="1"/>
  </r>
  <r>
    <n v="782"/>
    <x v="347"/>
    <n v="21"/>
    <s v="Vitória"/>
    <x v="2"/>
    <n v="50"/>
    <n v="114"/>
    <n v="5700"/>
    <d v="1899-12-30T00:00:00"/>
    <n v="5700"/>
    <d v="2021-03-27T00:00:00"/>
    <d v="2021-03-27T00:00:00"/>
    <n v="782"/>
    <n v="3"/>
    <x v="9"/>
    <n v="0.1"/>
    <n v="570"/>
    <n v="5"/>
    <x v="1"/>
  </r>
  <r>
    <n v="783"/>
    <x v="348"/>
    <n v="15"/>
    <s v="Vila Velha"/>
    <x v="2"/>
    <n v="15"/>
    <n v="112"/>
    <n v="1680"/>
    <d v="1899-12-30T03:21:36"/>
    <n v="1444.8"/>
    <d v="2021-03-28T00:00:00"/>
    <d v="2021-03-28T00:00:00"/>
    <n v="783"/>
    <n v="1"/>
    <x v="4"/>
    <n v="7.0000000000000007E-2"/>
    <n v="101.13600000000001"/>
    <n v="6"/>
    <x v="1"/>
  </r>
  <r>
    <n v="784"/>
    <x v="349"/>
    <n v="38"/>
    <s v="Belo Horizonte"/>
    <x v="6"/>
    <n v="47"/>
    <n v="105"/>
    <n v="4935"/>
    <d v="1899-12-30T03:36:00"/>
    <n v="4194.75"/>
    <d v="2021-03-21T00:00:00"/>
    <d v="2021-03-21T00:00:00"/>
    <n v="784"/>
    <n v="6"/>
    <x v="9"/>
    <n v="0.1"/>
    <n v="419.47500000000002"/>
    <n v="7"/>
    <x v="2"/>
  </r>
  <r>
    <n v="785"/>
    <x v="350"/>
    <n v="85"/>
    <s v="Piraquara"/>
    <x v="2"/>
    <n v="13"/>
    <n v="94"/>
    <n v="1222"/>
    <d v="1899-12-30T00:28:48"/>
    <n v="1197.56"/>
    <d v="2021-03-28T00:00:00"/>
    <d v="2021-03-28T00:00:00"/>
    <n v="785"/>
    <n v="4"/>
    <x v="5"/>
    <n v="0.09"/>
    <n v="107.78039999999999"/>
    <n v="1"/>
    <x v="2"/>
  </r>
  <r>
    <n v="786"/>
    <x v="350"/>
    <n v="70"/>
    <s v="Rio de Janeiro"/>
    <x v="6"/>
    <n v="29"/>
    <n v="96"/>
    <n v="2784"/>
    <d v="1899-12-30T01:40:48"/>
    <n v="2589.12"/>
    <d v="2021-03-11T00:00:00"/>
    <d v="2021-03-11T00:00:00"/>
    <n v="786"/>
    <n v="1"/>
    <x v="2"/>
    <n v="7.0000000000000007E-2"/>
    <n v="181.23840000000001"/>
    <n v="2"/>
    <x v="2"/>
  </r>
  <r>
    <n v="787"/>
    <x v="350"/>
    <n v="30"/>
    <s v="Vitória da Conquista"/>
    <x v="6"/>
    <n v="24"/>
    <n v="100"/>
    <n v="2400"/>
    <d v="1899-12-30T03:36:00"/>
    <n v="2040"/>
    <d v="2021-03-24T00:00:00"/>
    <d v="2021-03-24T00:00:00"/>
    <n v="787"/>
    <n v="3"/>
    <x v="7"/>
    <n v="0.06"/>
    <n v="122.39999999999999"/>
    <n v="3"/>
    <x v="2"/>
  </r>
  <r>
    <n v="788"/>
    <x v="350"/>
    <n v="66"/>
    <s v="Gurupi"/>
    <x v="1"/>
    <n v="34"/>
    <n v="111"/>
    <n v="3774"/>
    <d v="1899-12-30T01:40:48"/>
    <n v="3509.82"/>
    <d v="2021-03-24T00:00:00"/>
    <d v="2021-03-24T00:00:00"/>
    <n v="788"/>
    <n v="2"/>
    <x v="6"/>
    <n v="0.06"/>
    <n v="210.58920000000001"/>
    <n v="4"/>
    <x v="2"/>
  </r>
  <r>
    <n v="789"/>
    <x v="351"/>
    <n v="98"/>
    <s v="Recife"/>
    <x v="3"/>
    <n v="49"/>
    <n v="115"/>
    <n v="5635"/>
    <d v="1899-12-30T02:09:36"/>
    <n v="5127.8500000000004"/>
    <d v="2021-04-01T00:00:00"/>
    <d v="2021-04-01T00:00:00"/>
    <n v="789"/>
    <n v="1"/>
    <x v="9"/>
    <n v="0.08"/>
    <n v="410.22800000000007"/>
    <n v="5"/>
    <x v="2"/>
  </r>
  <r>
    <n v="790"/>
    <x v="352"/>
    <n v="1"/>
    <s v="Santos"/>
    <x v="5"/>
    <n v="37"/>
    <n v="97"/>
    <n v="3589"/>
    <d v="1899-12-30T00:43:12"/>
    <n v="3481.33"/>
    <d v="2021-03-27T00:00:00"/>
    <d v="2021-03-27T00:00:00"/>
    <n v="790"/>
    <n v="4"/>
    <x v="7"/>
    <n v="0.09"/>
    <n v="313.31969999999995"/>
    <n v="6"/>
    <x v="2"/>
  </r>
  <r>
    <n v="791"/>
    <x v="352"/>
    <n v="42"/>
    <s v="Mauá"/>
    <x v="5"/>
    <n v="47"/>
    <n v="98"/>
    <n v="4606"/>
    <d v="1899-12-30T00:14:24"/>
    <n v="4559.9399999999996"/>
    <d v="2021-03-20T00:00:00"/>
    <d v="2021-03-20T00:00:00"/>
    <n v="791"/>
    <n v="5"/>
    <x v="8"/>
    <n v="0.06"/>
    <n v="273.59639999999996"/>
    <n v="7"/>
    <x v="2"/>
  </r>
  <r>
    <n v="792"/>
    <x v="352"/>
    <n v="81"/>
    <s v="Duque de Caxias"/>
    <x v="0"/>
    <n v="12"/>
    <n v="101"/>
    <n v="1212"/>
    <d v="1899-12-30T00:14:24"/>
    <n v="1199.8800000000001"/>
    <d v="2021-03-28T00:00:00"/>
    <d v="2021-03-28T00:00:00"/>
    <n v="792"/>
    <n v="3"/>
    <x v="0"/>
    <n v="7.0000000000000007E-2"/>
    <n v="83.99160000000002"/>
    <n v="1"/>
    <x v="2"/>
  </r>
  <r>
    <n v="793"/>
    <x v="353"/>
    <n v="91"/>
    <s v="Itaquaquecetuba"/>
    <x v="2"/>
    <n v="49"/>
    <n v="112"/>
    <n v="5488"/>
    <d v="1899-12-30T00:28:48"/>
    <n v="5378.24"/>
    <d v="2021-03-17T00:00:00"/>
    <d v="2021-03-17T00:00:00"/>
    <n v="793"/>
    <n v="2"/>
    <x v="3"/>
    <n v="0.1"/>
    <n v="537.82399999999996"/>
    <n v="2"/>
    <x v="2"/>
  </r>
  <r>
    <n v="794"/>
    <x v="353"/>
    <n v="93"/>
    <s v="Salvador"/>
    <x v="2"/>
    <n v="30"/>
    <n v="90"/>
    <n v="2700"/>
    <d v="1899-12-30T00:28:48"/>
    <n v="2646"/>
    <d v="2021-04-03T00:00:00"/>
    <d v="2021-04-03T00:00:00"/>
    <n v="794"/>
    <n v="5"/>
    <x v="9"/>
    <n v="0.05"/>
    <n v="132.30000000000001"/>
    <n v="3"/>
    <x v="2"/>
  </r>
  <r>
    <n v="795"/>
    <x v="353"/>
    <n v="6"/>
    <s v="Jaú"/>
    <x v="5"/>
    <n v="41"/>
    <n v="110"/>
    <n v="4510"/>
    <d v="1899-12-30T02:24:00"/>
    <n v="4059"/>
    <d v="2021-03-09T00:00:00"/>
    <m/>
    <n v="795"/>
    <n v="3"/>
    <x v="5"/>
    <n v="0.06"/>
    <n v="243.54"/>
    <n v="4"/>
    <x v="2"/>
  </r>
  <r>
    <n v="796"/>
    <x v="353"/>
    <n v="11"/>
    <s v="Cachoeiro de Itapemirim"/>
    <x v="0"/>
    <n v="23"/>
    <n v="114"/>
    <n v="2622"/>
    <d v="1899-12-30T03:36:00"/>
    <n v="2228.6999999999998"/>
    <d v="2021-03-13T00:00:00"/>
    <d v="2021-03-13T00:00:00"/>
    <n v="796"/>
    <n v="6"/>
    <x v="0"/>
    <n v="7.0000000000000007E-2"/>
    <n v="156.00900000000001"/>
    <n v="5"/>
    <x v="2"/>
  </r>
  <r>
    <n v="797"/>
    <x v="353"/>
    <n v="15"/>
    <s v="Vila Velha"/>
    <x v="1"/>
    <n v="29"/>
    <n v="107"/>
    <n v="3103"/>
    <d v="1899-12-30T03:36:00"/>
    <n v="2637.55"/>
    <d v="2021-03-26T00:00:00"/>
    <d v="2021-03-26T00:00:00"/>
    <n v="797"/>
    <n v="2"/>
    <x v="2"/>
    <n v="0.06"/>
    <n v="158.25300000000001"/>
    <n v="6"/>
    <x v="2"/>
  </r>
  <r>
    <n v="798"/>
    <x v="354"/>
    <n v="89"/>
    <s v="Goiânia"/>
    <x v="9"/>
    <n v="39"/>
    <n v="109"/>
    <n v="4251"/>
    <d v="1899-12-30T00:00:00"/>
    <n v="4251"/>
    <d v="2021-03-12T00:00:00"/>
    <d v="2021-03-12T00:00:00"/>
    <n v="798"/>
    <n v="5"/>
    <x v="9"/>
    <n v="0.08"/>
    <n v="340.08"/>
    <n v="7"/>
    <x v="2"/>
  </r>
  <r>
    <n v="799"/>
    <x v="354"/>
    <n v="15"/>
    <s v="Vila Velha"/>
    <x v="6"/>
    <n v="27"/>
    <n v="109"/>
    <n v="2943"/>
    <d v="1899-12-30T01:12:00"/>
    <n v="2795.85"/>
    <d v="2021-03-22T00:00:00"/>
    <d v="2021-03-22T00:00:00"/>
    <n v="799"/>
    <n v="5"/>
    <x v="8"/>
    <n v="7.0000000000000007E-2"/>
    <n v="195.70950000000002"/>
    <n v="1"/>
    <x v="2"/>
  </r>
  <r>
    <n v="800"/>
    <x v="354"/>
    <n v="61"/>
    <s v="Petrópolis"/>
    <x v="0"/>
    <n v="25"/>
    <n v="119"/>
    <n v="2975"/>
    <d v="1899-12-30T01:12:00"/>
    <n v="2826.25"/>
    <d v="2021-03-14T00:00:00"/>
    <d v="2021-03-14T00:00:00"/>
    <n v="800"/>
    <n v="4"/>
    <x v="5"/>
    <n v="0.09"/>
    <n v="254.36249999999998"/>
    <n v="2"/>
    <x v="2"/>
  </r>
  <r>
    <n v="801"/>
    <x v="354"/>
    <n v="3"/>
    <s v="Barbacena"/>
    <x v="8"/>
    <n v="19"/>
    <n v="98"/>
    <n v="1862"/>
    <d v="1899-12-30T00:28:48"/>
    <n v="1824.76"/>
    <d v="2021-04-03T00:00:00"/>
    <d v="2021-04-03T00:00:00"/>
    <n v="801"/>
    <n v="5"/>
    <x v="1"/>
    <n v="7.0000000000000007E-2"/>
    <n v="127.73320000000001"/>
    <n v="3"/>
    <x v="2"/>
  </r>
  <r>
    <n v="802"/>
    <x v="354"/>
    <n v="22"/>
    <s v="Núcleo Bandeirante"/>
    <x v="1"/>
    <n v="10"/>
    <n v="97"/>
    <n v="970"/>
    <d v="1899-12-30T00:14:24"/>
    <n v="960.3"/>
    <d v="2021-03-12T00:00:00"/>
    <d v="2021-03-12T00:00:00"/>
    <n v="802"/>
    <n v="7"/>
    <x v="5"/>
    <n v="0.1"/>
    <n v="96.03"/>
    <n v="4"/>
    <x v="2"/>
  </r>
  <r>
    <n v="803"/>
    <x v="355"/>
    <n v="87"/>
    <s v="Fortaleza"/>
    <x v="5"/>
    <n v="25"/>
    <n v="119"/>
    <n v="2975"/>
    <d v="1899-12-30T00:14:24"/>
    <n v="2945.25"/>
    <d v="2021-04-01T00:00:00"/>
    <d v="2021-04-01T00:00:00"/>
    <n v="803"/>
    <n v="3"/>
    <x v="2"/>
    <n v="0.05"/>
    <n v="147.26250000000002"/>
    <n v="5"/>
    <x v="2"/>
  </r>
  <r>
    <n v="804"/>
    <x v="355"/>
    <n v="26"/>
    <s v="Araçatuba"/>
    <x v="5"/>
    <n v="45"/>
    <n v="116"/>
    <n v="5220"/>
    <d v="1899-12-30T03:36:00"/>
    <n v="4437"/>
    <d v="2021-03-18T00:00:00"/>
    <d v="2021-03-18T00:00:00"/>
    <n v="804"/>
    <n v="1"/>
    <x v="3"/>
    <n v="0.06"/>
    <n v="266.21999999999997"/>
    <n v="6"/>
    <x v="2"/>
  </r>
  <r>
    <n v="805"/>
    <x v="355"/>
    <n v="3"/>
    <s v="Barbacena"/>
    <x v="0"/>
    <n v="39"/>
    <n v="115"/>
    <n v="4485"/>
    <d v="1899-12-30T03:21:36"/>
    <n v="3857.1"/>
    <d v="2021-03-18T00:00:00"/>
    <d v="2021-03-18T00:00:00"/>
    <n v="805"/>
    <n v="6"/>
    <x v="2"/>
    <n v="0.06"/>
    <n v="231.42599999999999"/>
    <n v="7"/>
    <x v="2"/>
  </r>
  <r>
    <n v="806"/>
    <x v="356"/>
    <n v="68"/>
    <s v="Goiânia"/>
    <x v="9"/>
    <n v="48"/>
    <n v="112"/>
    <n v="5376"/>
    <d v="1899-12-30T02:09:36"/>
    <n v="4892.16"/>
    <d v="2021-03-25T00:00:00"/>
    <d v="2021-03-25T00:00:00"/>
    <n v="806"/>
    <n v="1"/>
    <x v="5"/>
    <n v="7.0000000000000007E-2"/>
    <n v="342.45120000000003"/>
    <n v="1"/>
    <x v="2"/>
  </r>
  <r>
    <n v="807"/>
    <x v="356"/>
    <n v="46"/>
    <s v="Curitiba"/>
    <x v="1"/>
    <n v="38"/>
    <n v="102"/>
    <n v="3876"/>
    <d v="1899-12-30T01:55:12"/>
    <n v="3565.92"/>
    <d v="2021-03-14T00:00:00"/>
    <d v="2021-03-14T00:00:00"/>
    <n v="807"/>
    <n v="7"/>
    <x v="8"/>
    <n v="0.09"/>
    <n v="320.93279999999999"/>
    <n v="2"/>
    <x v="2"/>
  </r>
  <r>
    <n v="808"/>
    <x v="356"/>
    <n v="37"/>
    <s v="Arcoverde"/>
    <x v="3"/>
    <n v="14"/>
    <n v="113"/>
    <n v="1582"/>
    <d v="1899-12-30T00:14:24"/>
    <n v="1566.18"/>
    <d v="2021-04-05T00:00:00"/>
    <m/>
    <n v="808"/>
    <n v="3"/>
    <x v="6"/>
    <n v="0.05"/>
    <n v="78.309000000000012"/>
    <n v="3"/>
    <x v="2"/>
  </r>
  <r>
    <n v="809"/>
    <x v="356"/>
    <n v="11"/>
    <s v="Cachoeiro de Itapemirim"/>
    <x v="1"/>
    <n v="27"/>
    <n v="104"/>
    <n v="2808"/>
    <d v="1899-12-30T00:28:48"/>
    <n v="2751.84"/>
    <d v="2021-03-21T00:00:00"/>
    <d v="2021-03-21T00:00:00"/>
    <n v="809"/>
    <n v="3"/>
    <x v="1"/>
    <n v="0.08"/>
    <n v="220.14720000000003"/>
    <n v="4"/>
    <x v="2"/>
  </r>
  <r>
    <n v="810"/>
    <x v="357"/>
    <n v="100"/>
    <s v="São Paulo"/>
    <x v="7"/>
    <n v="48"/>
    <n v="96"/>
    <n v="4608"/>
    <d v="1899-12-30T01:26:24"/>
    <n v="4331.5200000000004"/>
    <d v="2021-03-27T00:00:00"/>
    <d v="2021-03-27T00:00:00"/>
    <n v="810"/>
    <n v="5"/>
    <x v="8"/>
    <n v="0.05"/>
    <n v="216.57600000000002"/>
    <n v="5"/>
    <x v="2"/>
  </r>
  <r>
    <n v="811"/>
    <x v="358"/>
    <n v="75"/>
    <s v="São Paulo"/>
    <x v="9"/>
    <n v="22"/>
    <n v="101"/>
    <n v="2222"/>
    <d v="1899-12-30T00:28:48"/>
    <n v="2177.56"/>
    <d v="2021-04-03T00:00:00"/>
    <d v="2021-04-03T00:00:00"/>
    <n v="811"/>
    <n v="7"/>
    <x v="6"/>
    <n v="0.1"/>
    <n v="217.756"/>
    <n v="6"/>
    <x v="2"/>
  </r>
  <r>
    <n v="812"/>
    <x v="358"/>
    <n v="35"/>
    <s v="São Paulo"/>
    <x v="8"/>
    <n v="30"/>
    <n v="118"/>
    <n v="3540"/>
    <d v="1899-12-30T00:14:24"/>
    <n v="3504.6"/>
    <d v="2021-03-16T00:00:00"/>
    <d v="2021-03-16T00:00:00"/>
    <n v="812"/>
    <n v="1"/>
    <x v="1"/>
    <n v="0.06"/>
    <n v="210.27599999999998"/>
    <n v="7"/>
    <x v="2"/>
  </r>
  <r>
    <n v="813"/>
    <x v="359"/>
    <n v="26"/>
    <s v="Araçatuba"/>
    <x v="3"/>
    <n v="17"/>
    <n v="111"/>
    <n v="1887"/>
    <d v="1899-12-30T00:00:00"/>
    <n v="1887"/>
    <d v="2021-03-18T00:00:00"/>
    <d v="2021-03-18T00:00:00"/>
    <n v="813"/>
    <n v="5"/>
    <x v="8"/>
    <n v="0.05"/>
    <n v="94.350000000000009"/>
    <n v="1"/>
    <x v="2"/>
  </r>
  <r>
    <n v="814"/>
    <x v="359"/>
    <n v="49"/>
    <s v="São Paulo"/>
    <x v="2"/>
    <n v="14"/>
    <n v="113"/>
    <n v="1582"/>
    <d v="1899-12-30T02:38:24"/>
    <n v="1407.98"/>
    <d v="2021-03-13T00:00:00"/>
    <d v="2021-03-13T00:00:00"/>
    <n v="814"/>
    <n v="3"/>
    <x v="2"/>
    <n v="7.0000000000000007E-2"/>
    <n v="98.558600000000013"/>
    <n v="2"/>
    <x v="2"/>
  </r>
  <r>
    <n v="815"/>
    <x v="360"/>
    <n v="14"/>
    <s v="Eunápolis"/>
    <x v="5"/>
    <n v="15"/>
    <n v="118"/>
    <n v="1770"/>
    <d v="1899-12-30T03:21:36"/>
    <n v="1522.2"/>
    <d v="2021-03-24T00:00:00"/>
    <d v="2021-03-24T00:00:00"/>
    <n v="815"/>
    <n v="3"/>
    <x v="3"/>
    <n v="0.09"/>
    <n v="136.99799999999999"/>
    <n v="3"/>
    <x v="2"/>
  </r>
  <r>
    <n v="816"/>
    <x v="361"/>
    <n v="69"/>
    <s v="Rio de Janeiro"/>
    <x v="1"/>
    <n v="10"/>
    <n v="100"/>
    <n v="1000"/>
    <d v="1899-12-30T01:55:12"/>
    <n v="920"/>
    <d v="2021-04-11T00:00:00"/>
    <d v="2021-04-11T00:00:00"/>
    <n v="816"/>
    <n v="2"/>
    <x v="8"/>
    <n v="0.08"/>
    <n v="73.600000000000009"/>
    <n v="4"/>
    <x v="2"/>
  </r>
  <r>
    <n v="817"/>
    <x v="362"/>
    <n v="66"/>
    <s v="Gurupi"/>
    <x v="3"/>
    <n v="48"/>
    <n v="102"/>
    <n v="4896"/>
    <d v="1899-12-30T01:12:00"/>
    <n v="4651.2"/>
    <d v="2021-04-05T00:00:00"/>
    <d v="2021-04-05T00:00:00"/>
    <n v="817"/>
    <n v="1"/>
    <x v="6"/>
    <n v="0.08"/>
    <n v="372.096"/>
    <n v="5"/>
    <x v="2"/>
  </r>
  <r>
    <n v="818"/>
    <x v="362"/>
    <n v="21"/>
    <s v="Vitória"/>
    <x v="6"/>
    <n v="11"/>
    <n v="92"/>
    <n v="1012"/>
    <d v="1899-12-30T03:21:36"/>
    <n v="870.31999999999994"/>
    <d v="2021-04-02T00:00:00"/>
    <d v="2021-04-02T00:00:00"/>
    <n v="818"/>
    <n v="5"/>
    <x v="4"/>
    <n v="7.0000000000000007E-2"/>
    <n v="60.922400000000003"/>
    <n v="6"/>
    <x v="2"/>
  </r>
  <r>
    <n v="819"/>
    <x v="362"/>
    <n v="50"/>
    <s v="Patos de Minas"/>
    <x v="3"/>
    <n v="23"/>
    <n v="119"/>
    <n v="2737"/>
    <d v="1899-12-30T00:28:48"/>
    <n v="2682.26"/>
    <d v="2021-03-29T00:00:00"/>
    <d v="2021-03-29T00:00:00"/>
    <n v="819"/>
    <n v="4"/>
    <x v="5"/>
    <n v="0.08"/>
    <n v="214.58080000000001"/>
    <n v="7"/>
    <x v="2"/>
  </r>
  <r>
    <n v="820"/>
    <x v="363"/>
    <n v="87"/>
    <s v="Fortaleza"/>
    <x v="6"/>
    <n v="14"/>
    <n v="117"/>
    <n v="1638"/>
    <d v="1899-12-30T02:09:36"/>
    <n v="1490.58"/>
    <d v="2021-04-04T00:00:00"/>
    <d v="2021-04-04T00:00:00"/>
    <n v="820"/>
    <n v="3"/>
    <x v="8"/>
    <n v="0.06"/>
    <n v="89.434799999999996"/>
    <n v="1"/>
    <x v="2"/>
  </r>
  <r>
    <n v="821"/>
    <x v="364"/>
    <n v="19"/>
    <s v="São Paulo"/>
    <x v="1"/>
    <n v="45"/>
    <n v="96"/>
    <n v="4320"/>
    <d v="1899-12-30T02:24:00"/>
    <n v="3888"/>
    <d v="2021-04-04T00:00:00"/>
    <d v="2021-04-04T00:00:00"/>
    <n v="821"/>
    <n v="2"/>
    <x v="5"/>
    <n v="0.08"/>
    <n v="311.04000000000002"/>
    <n v="2"/>
    <x v="2"/>
  </r>
  <r>
    <n v="822"/>
    <x v="364"/>
    <n v="61"/>
    <s v="Petrópolis"/>
    <x v="1"/>
    <n v="30"/>
    <n v="112"/>
    <n v="3360"/>
    <d v="1899-12-30T02:09:36"/>
    <n v="3057.6"/>
    <d v="2021-04-14T00:00:00"/>
    <d v="2021-04-14T00:00:00"/>
    <n v="822"/>
    <n v="6"/>
    <x v="1"/>
    <n v="0.09"/>
    <n v="275.18399999999997"/>
    <n v="3"/>
    <x v="2"/>
  </r>
  <r>
    <n v="823"/>
    <x v="364"/>
    <n v="73"/>
    <s v="São Paulo"/>
    <x v="5"/>
    <n v="34"/>
    <n v="92"/>
    <n v="3128"/>
    <d v="1899-12-30T03:21:36"/>
    <n v="2690.08"/>
    <d v="2021-03-22T00:00:00"/>
    <d v="2021-03-22T00:00:00"/>
    <n v="823"/>
    <n v="4"/>
    <x v="6"/>
    <n v="0.05"/>
    <n v="134.50399999999999"/>
    <n v="4"/>
    <x v="2"/>
  </r>
  <r>
    <n v="824"/>
    <x v="364"/>
    <n v="37"/>
    <s v="Arcoverde"/>
    <x v="3"/>
    <n v="12"/>
    <n v="118"/>
    <n v="1416"/>
    <d v="1899-12-30T01:26:24"/>
    <n v="1331.04"/>
    <d v="2021-03-28T00:00:00"/>
    <d v="2021-03-28T00:00:00"/>
    <n v="824"/>
    <n v="3"/>
    <x v="4"/>
    <n v="0.05"/>
    <n v="66.552000000000007"/>
    <n v="5"/>
    <x v="2"/>
  </r>
  <r>
    <n v="825"/>
    <x v="365"/>
    <n v="86"/>
    <s v="Jataí"/>
    <x v="5"/>
    <n v="40"/>
    <n v="90"/>
    <n v="3600"/>
    <d v="1899-12-30T03:07:12"/>
    <n v="3132"/>
    <d v="2021-03-27T00:00:00"/>
    <d v="2021-03-27T00:00:00"/>
    <n v="825"/>
    <n v="4"/>
    <x v="0"/>
    <n v="0.09"/>
    <n v="281.88"/>
    <n v="6"/>
    <x v="2"/>
  </r>
  <r>
    <n v="826"/>
    <x v="366"/>
    <n v="6"/>
    <s v="Jaú"/>
    <x v="6"/>
    <n v="34"/>
    <n v="117"/>
    <n v="3978"/>
    <d v="1899-12-30T00:14:24"/>
    <n v="3938.22"/>
    <d v="2021-03-22T00:00:00"/>
    <d v="2021-03-22T00:00:00"/>
    <n v="826"/>
    <n v="6"/>
    <x v="3"/>
    <n v="7.0000000000000007E-2"/>
    <n v="275.67540000000002"/>
    <n v="7"/>
    <x v="2"/>
  </r>
  <r>
    <n v="827"/>
    <x v="367"/>
    <n v="63"/>
    <s v="Catanduva"/>
    <x v="5"/>
    <n v="48"/>
    <n v="108"/>
    <n v="5184"/>
    <d v="1899-12-30T00:57:36"/>
    <n v="4976.6400000000003"/>
    <d v="2021-04-20T00:00:00"/>
    <d v="2021-04-20T00:00:00"/>
    <n v="827"/>
    <n v="5"/>
    <x v="2"/>
    <n v="0.09"/>
    <n v="447.89760000000001"/>
    <n v="1"/>
    <x v="2"/>
  </r>
  <r>
    <n v="828"/>
    <x v="368"/>
    <n v="37"/>
    <s v="Arcoverde"/>
    <x v="3"/>
    <n v="47"/>
    <n v="108"/>
    <n v="5076"/>
    <d v="1899-12-30T00:00:00"/>
    <n v="5076"/>
    <d v="2021-04-09T00:00:00"/>
    <d v="2021-04-09T00:00:00"/>
    <n v="828"/>
    <n v="5"/>
    <x v="4"/>
    <n v="7.0000000000000007E-2"/>
    <n v="355.32000000000005"/>
    <n v="2"/>
    <x v="2"/>
  </r>
  <r>
    <n v="829"/>
    <x v="368"/>
    <n v="10"/>
    <s v="Campinas"/>
    <x v="1"/>
    <n v="20"/>
    <n v="117"/>
    <n v="2340"/>
    <d v="1899-12-30T01:55:12"/>
    <n v="2152.8000000000002"/>
    <d v="2021-04-08T00:00:00"/>
    <d v="2021-04-08T00:00:00"/>
    <n v="829"/>
    <n v="3"/>
    <x v="2"/>
    <n v="0.1"/>
    <n v="215.28000000000003"/>
    <n v="3"/>
    <x v="2"/>
  </r>
  <r>
    <n v="830"/>
    <x v="368"/>
    <n v="85"/>
    <s v="Piraquara"/>
    <x v="9"/>
    <n v="50"/>
    <n v="107"/>
    <n v="5350"/>
    <d v="1899-12-30T03:36:00"/>
    <n v="4547.5"/>
    <d v="2021-04-05T00:00:00"/>
    <d v="2021-04-05T00:00:00"/>
    <n v="830"/>
    <n v="6"/>
    <x v="3"/>
    <n v="0.05"/>
    <n v="227.375"/>
    <n v="4"/>
    <x v="2"/>
  </r>
  <r>
    <n v="831"/>
    <x v="369"/>
    <n v="39"/>
    <s v="São Paulo"/>
    <x v="2"/>
    <n v="27"/>
    <n v="116"/>
    <n v="3132"/>
    <d v="1899-12-30T02:09:36"/>
    <n v="2850.12"/>
    <d v="2021-04-09T00:00:00"/>
    <d v="2021-04-09T00:00:00"/>
    <n v="831"/>
    <n v="2"/>
    <x v="5"/>
    <n v="0.1"/>
    <n v="285.012"/>
    <n v="5"/>
    <x v="2"/>
  </r>
  <r>
    <n v="832"/>
    <x v="369"/>
    <n v="46"/>
    <s v="Curitiba"/>
    <x v="5"/>
    <n v="50"/>
    <n v="93"/>
    <n v="4650"/>
    <d v="1899-12-30T03:07:12"/>
    <n v="4045.5"/>
    <d v="2021-04-13T00:00:00"/>
    <d v="2021-04-13T00:00:00"/>
    <n v="832"/>
    <n v="1"/>
    <x v="8"/>
    <n v="0.1"/>
    <n v="404.55"/>
    <n v="6"/>
    <x v="2"/>
  </r>
  <r>
    <n v="833"/>
    <x v="369"/>
    <n v="72"/>
    <s v="São Paulo"/>
    <x v="6"/>
    <n v="21"/>
    <n v="115"/>
    <n v="2415"/>
    <d v="1899-12-30T02:52:48"/>
    <n v="2125.1999999999998"/>
    <d v="2021-03-27T00:00:00"/>
    <d v="2021-03-27T00:00:00"/>
    <n v="833"/>
    <n v="7"/>
    <x v="9"/>
    <n v="0.09"/>
    <n v="191.26799999999997"/>
    <n v="7"/>
    <x v="2"/>
  </r>
  <r>
    <n v="834"/>
    <x v="369"/>
    <n v="29"/>
    <s v="Teófilo Otoni"/>
    <x v="9"/>
    <n v="12"/>
    <n v="97"/>
    <n v="1164"/>
    <d v="1899-12-30T00:43:12"/>
    <n v="1129.08"/>
    <d v="2021-04-06T00:00:00"/>
    <d v="2021-04-06T00:00:00"/>
    <n v="834"/>
    <n v="5"/>
    <x v="4"/>
    <n v="0.05"/>
    <n v="56.454000000000001"/>
    <n v="1"/>
    <x v="2"/>
  </r>
  <r>
    <n v="835"/>
    <x v="370"/>
    <n v="66"/>
    <s v="Gurupi"/>
    <x v="1"/>
    <n v="23"/>
    <n v="99"/>
    <n v="2277"/>
    <d v="1899-12-30T00:28:48"/>
    <n v="2231.46"/>
    <d v="2021-04-02T00:00:00"/>
    <d v="2021-04-02T00:00:00"/>
    <n v="835"/>
    <n v="1"/>
    <x v="9"/>
    <n v="7.0000000000000007E-2"/>
    <n v="156.2022"/>
    <n v="2"/>
    <x v="2"/>
  </r>
  <r>
    <n v="836"/>
    <x v="370"/>
    <n v="70"/>
    <s v="Rio de Janeiro"/>
    <x v="3"/>
    <n v="45"/>
    <n v="98"/>
    <n v="4410"/>
    <d v="1899-12-30T03:21:36"/>
    <n v="3792.6"/>
    <d v="2021-04-21T00:00:00"/>
    <d v="2021-04-21T00:00:00"/>
    <n v="836"/>
    <n v="7"/>
    <x v="5"/>
    <n v="0.09"/>
    <n v="341.334"/>
    <n v="3"/>
    <x v="2"/>
  </r>
  <r>
    <n v="837"/>
    <x v="370"/>
    <n v="75"/>
    <s v="São Paulo"/>
    <x v="5"/>
    <n v="26"/>
    <n v="94"/>
    <n v="2444"/>
    <d v="1899-12-30T02:09:36"/>
    <n v="2224.04"/>
    <d v="2021-04-01T00:00:00"/>
    <d v="2021-04-01T00:00:00"/>
    <n v="837"/>
    <n v="3"/>
    <x v="4"/>
    <n v="0.09"/>
    <n v="200.1636"/>
    <n v="4"/>
    <x v="2"/>
  </r>
  <r>
    <n v="838"/>
    <x v="370"/>
    <n v="17"/>
    <s v="Rio de Janeiro"/>
    <x v="0"/>
    <n v="23"/>
    <n v="115"/>
    <n v="2645"/>
    <d v="1899-12-30T01:40:48"/>
    <n v="2459.85"/>
    <d v="2021-03-29T00:00:00"/>
    <d v="2021-03-29T00:00:00"/>
    <n v="838"/>
    <n v="3"/>
    <x v="7"/>
    <n v="0.06"/>
    <n v="147.59099999999998"/>
    <n v="5"/>
    <x v="2"/>
  </r>
  <r>
    <n v="839"/>
    <x v="371"/>
    <n v="68"/>
    <s v="Goiânia"/>
    <x v="7"/>
    <n v="22"/>
    <n v="116"/>
    <n v="2552"/>
    <d v="1899-12-30T02:09:36"/>
    <n v="2322.3200000000002"/>
    <d v="2021-04-26T00:00:00"/>
    <d v="2021-04-26T00:00:00"/>
    <n v="839"/>
    <n v="5"/>
    <x v="2"/>
    <n v="0.06"/>
    <n v="139.33920000000001"/>
    <n v="6"/>
    <x v="2"/>
  </r>
  <r>
    <n v="840"/>
    <x v="371"/>
    <n v="50"/>
    <s v="Patos de Minas"/>
    <x v="6"/>
    <n v="37"/>
    <n v="91"/>
    <n v="3367"/>
    <d v="1899-12-30T00:28:48"/>
    <n v="3299.66"/>
    <d v="2021-03-29T00:00:00"/>
    <d v="2021-03-29T00:00:00"/>
    <n v="840"/>
    <n v="7"/>
    <x v="2"/>
    <n v="7.0000000000000007E-2"/>
    <n v="230.97620000000001"/>
    <n v="7"/>
    <x v="2"/>
  </r>
  <r>
    <n v="841"/>
    <x v="371"/>
    <n v="23"/>
    <s v="Santa Bárbara D'Oeste"/>
    <x v="8"/>
    <n v="47"/>
    <n v="99"/>
    <n v="4653"/>
    <d v="1899-12-30T00:43:12"/>
    <n v="4513.41"/>
    <d v="2021-04-21T00:00:00"/>
    <d v="2021-04-21T00:00:00"/>
    <n v="841"/>
    <n v="3"/>
    <x v="2"/>
    <n v="0.09"/>
    <n v="406.20689999999996"/>
    <n v="1"/>
    <x v="2"/>
  </r>
  <r>
    <n v="842"/>
    <x v="372"/>
    <n v="85"/>
    <s v="Piraquara"/>
    <x v="1"/>
    <n v="20"/>
    <n v="93"/>
    <n v="1860"/>
    <d v="1899-12-30T02:24:00"/>
    <n v="1674"/>
    <d v="2021-04-02T00:00:00"/>
    <d v="2021-04-02T00:00:00"/>
    <n v="842"/>
    <n v="2"/>
    <x v="1"/>
    <n v="0.06"/>
    <n v="100.44"/>
    <n v="2"/>
    <x v="2"/>
  </r>
  <r>
    <n v="843"/>
    <x v="372"/>
    <n v="1"/>
    <s v="Santos"/>
    <x v="7"/>
    <n v="13"/>
    <n v="92"/>
    <n v="1196"/>
    <d v="1899-12-30T01:40:48"/>
    <n v="1112.28"/>
    <d v="2021-04-25T00:00:00"/>
    <d v="2021-04-25T00:00:00"/>
    <n v="843"/>
    <n v="4"/>
    <x v="6"/>
    <n v="0.05"/>
    <n v="55.614000000000004"/>
    <n v="3"/>
    <x v="2"/>
  </r>
  <r>
    <n v="844"/>
    <x v="372"/>
    <n v="68"/>
    <s v="Goiânia"/>
    <x v="7"/>
    <n v="46"/>
    <n v="104"/>
    <n v="4784"/>
    <d v="1899-12-30T01:55:12"/>
    <n v="4401.28"/>
    <d v="2021-04-28T00:00:00"/>
    <d v="2021-04-28T00:00:00"/>
    <n v="844"/>
    <n v="1"/>
    <x v="6"/>
    <n v="0.06"/>
    <n v="264.07679999999999"/>
    <n v="4"/>
    <x v="2"/>
  </r>
  <r>
    <n v="845"/>
    <x v="373"/>
    <n v="85"/>
    <s v="Piraquara"/>
    <x v="7"/>
    <n v="14"/>
    <n v="93"/>
    <n v="1302"/>
    <d v="1899-12-30T00:28:48"/>
    <n v="1275.96"/>
    <d v="2021-04-04T00:00:00"/>
    <d v="2021-04-04T00:00:00"/>
    <n v="845"/>
    <n v="2"/>
    <x v="4"/>
    <n v="0.1"/>
    <n v="127.596"/>
    <n v="5"/>
    <x v="2"/>
  </r>
  <r>
    <n v="846"/>
    <x v="373"/>
    <n v="86"/>
    <s v="Jataí"/>
    <x v="5"/>
    <n v="50"/>
    <n v="118"/>
    <n v="5900"/>
    <d v="1899-12-30T02:52:48"/>
    <n v="5192"/>
    <d v="2021-04-27T00:00:00"/>
    <d v="2021-04-27T00:00:00"/>
    <n v="846"/>
    <n v="7"/>
    <x v="5"/>
    <n v="0.05"/>
    <n v="259.60000000000002"/>
    <n v="6"/>
    <x v="2"/>
  </r>
  <r>
    <n v="847"/>
    <x v="374"/>
    <n v="57"/>
    <s v="Campinas"/>
    <x v="8"/>
    <n v="26"/>
    <n v="103"/>
    <n v="2678"/>
    <d v="1899-12-30T01:12:00"/>
    <n v="2544.1"/>
    <d v="2021-04-28T00:00:00"/>
    <d v="2021-04-28T00:00:00"/>
    <n v="847"/>
    <n v="6"/>
    <x v="5"/>
    <n v="0.1"/>
    <n v="254.41"/>
    <n v="7"/>
    <x v="2"/>
  </r>
  <r>
    <n v="848"/>
    <x v="374"/>
    <n v="84"/>
    <s v="Manaus"/>
    <x v="1"/>
    <n v="42"/>
    <n v="91"/>
    <n v="3822"/>
    <d v="1899-12-30T00:14:24"/>
    <n v="3783.78"/>
    <d v="2021-04-08T00:00:00"/>
    <d v="2021-04-08T00:00:00"/>
    <n v="848"/>
    <n v="6"/>
    <x v="4"/>
    <n v="0.06"/>
    <n v="227.02680000000001"/>
    <n v="1"/>
    <x v="2"/>
  </r>
  <r>
    <n v="849"/>
    <x v="374"/>
    <n v="58"/>
    <s v="Natal"/>
    <x v="0"/>
    <n v="21"/>
    <n v="93"/>
    <n v="1953"/>
    <d v="1899-12-30T00:00:00"/>
    <n v="1953"/>
    <d v="2021-04-22T00:00:00"/>
    <d v="2021-04-22T00:00:00"/>
    <n v="849"/>
    <n v="2"/>
    <x v="2"/>
    <n v="0.1"/>
    <n v="195.3"/>
    <n v="2"/>
    <x v="2"/>
  </r>
  <r>
    <n v="850"/>
    <x v="375"/>
    <n v="11"/>
    <s v="Cachoeiro de Itapemirim"/>
    <x v="0"/>
    <n v="49"/>
    <n v="114"/>
    <n v="5586"/>
    <d v="1899-12-30T03:21:36"/>
    <n v="4803.96"/>
    <d v="2021-04-23T00:00:00"/>
    <d v="2021-04-23T00:00:00"/>
    <n v="850"/>
    <n v="1"/>
    <x v="5"/>
    <n v="0.08"/>
    <n v="384.3168"/>
    <n v="3"/>
    <x v="3"/>
  </r>
  <r>
    <n v="851"/>
    <x v="375"/>
    <n v="58"/>
    <s v="Natal"/>
    <x v="6"/>
    <n v="23"/>
    <n v="106"/>
    <n v="2438"/>
    <d v="1899-12-30T01:55:12"/>
    <n v="2242.96"/>
    <d v="2021-04-28T00:00:00"/>
    <d v="2021-04-28T00:00:00"/>
    <n v="851"/>
    <n v="2"/>
    <x v="8"/>
    <n v="0.08"/>
    <n v="179.43680000000001"/>
    <n v="4"/>
    <x v="3"/>
  </r>
  <r>
    <n v="852"/>
    <x v="376"/>
    <n v="2"/>
    <s v="Laranjeiras do Sul"/>
    <x v="4"/>
    <n v="17"/>
    <n v="102"/>
    <n v="1734"/>
    <d v="1899-12-30T01:26:24"/>
    <n v="1629.96"/>
    <d v="2021-04-26T00:00:00"/>
    <d v="2021-04-26T00:00:00"/>
    <n v="852"/>
    <n v="3"/>
    <x v="8"/>
    <n v="0.1"/>
    <n v="162.99600000000001"/>
    <n v="5"/>
    <x v="3"/>
  </r>
  <r>
    <n v="853"/>
    <x v="376"/>
    <n v="14"/>
    <s v="Eunápolis"/>
    <x v="0"/>
    <n v="39"/>
    <n v="118"/>
    <n v="4602"/>
    <d v="1899-12-30T01:55:12"/>
    <n v="4233.84"/>
    <d v="2021-05-01T00:00:00"/>
    <d v="2021-05-01T00:00:00"/>
    <n v="853"/>
    <n v="5"/>
    <x v="4"/>
    <n v="0.05"/>
    <n v="211.69200000000001"/>
    <n v="6"/>
    <x v="3"/>
  </r>
  <r>
    <n v="854"/>
    <x v="376"/>
    <n v="85"/>
    <s v="Piraquara"/>
    <x v="7"/>
    <n v="35"/>
    <n v="101"/>
    <n v="3535"/>
    <d v="1899-12-30T02:09:36"/>
    <n v="3216.85"/>
    <d v="2021-04-09T00:00:00"/>
    <d v="2021-04-09T00:00:00"/>
    <n v="854"/>
    <n v="7"/>
    <x v="0"/>
    <n v="7.0000000000000007E-2"/>
    <n v="225.17950000000002"/>
    <n v="7"/>
    <x v="3"/>
  </r>
  <r>
    <n v="855"/>
    <x v="377"/>
    <n v="7"/>
    <s v="Cabo de Santo Agostinho"/>
    <x v="2"/>
    <n v="27"/>
    <n v="109"/>
    <n v="2943"/>
    <d v="1899-12-30T01:26:24"/>
    <n v="2766.42"/>
    <d v="2021-04-22T00:00:00"/>
    <d v="2021-04-22T00:00:00"/>
    <n v="855"/>
    <n v="2"/>
    <x v="3"/>
    <n v="0.05"/>
    <n v="138.321"/>
    <n v="1"/>
    <x v="3"/>
  </r>
  <r>
    <n v="856"/>
    <x v="377"/>
    <n v="46"/>
    <s v="Curitiba"/>
    <x v="6"/>
    <n v="45"/>
    <n v="109"/>
    <n v="4905"/>
    <d v="1899-12-30T03:07:12"/>
    <n v="4267.3500000000004"/>
    <d v="2021-04-12T00:00:00"/>
    <d v="2021-04-12T00:00:00"/>
    <n v="856"/>
    <n v="3"/>
    <x v="8"/>
    <n v="7.0000000000000007E-2"/>
    <n v="298.71450000000004"/>
    <n v="2"/>
    <x v="3"/>
  </r>
  <r>
    <n v="857"/>
    <x v="377"/>
    <n v="38"/>
    <s v="Belo Horizonte"/>
    <x v="3"/>
    <n v="48"/>
    <n v="101"/>
    <n v="4848"/>
    <d v="1899-12-30T00:28:48"/>
    <n v="4751.04"/>
    <d v="2021-04-15T00:00:00"/>
    <d v="2021-04-15T00:00:00"/>
    <n v="857"/>
    <n v="2"/>
    <x v="5"/>
    <n v="0.06"/>
    <n v="285.06239999999997"/>
    <n v="3"/>
    <x v="3"/>
  </r>
  <r>
    <n v="858"/>
    <x v="378"/>
    <n v="33"/>
    <s v="Ituiutaba"/>
    <x v="7"/>
    <n v="46"/>
    <n v="118"/>
    <n v="5428"/>
    <d v="1899-12-30T00:00:00"/>
    <n v="5428"/>
    <d v="2021-04-27T00:00:00"/>
    <d v="2021-04-27T00:00:00"/>
    <n v="858"/>
    <n v="1"/>
    <x v="4"/>
    <n v="0.09"/>
    <n v="488.52"/>
    <n v="4"/>
    <x v="3"/>
  </r>
  <r>
    <n v="859"/>
    <x v="378"/>
    <n v="48"/>
    <s v="Guarulhos"/>
    <x v="3"/>
    <n v="11"/>
    <n v="98"/>
    <n v="1078"/>
    <d v="1899-12-30T01:55:12"/>
    <n v="991.76"/>
    <d v="2021-04-04T00:00:00"/>
    <d v="2021-04-04T00:00:00"/>
    <n v="859"/>
    <n v="1"/>
    <x v="3"/>
    <n v="0.1"/>
    <n v="99.176000000000002"/>
    <n v="5"/>
    <x v="3"/>
  </r>
  <r>
    <n v="860"/>
    <x v="378"/>
    <n v="13"/>
    <s v="Contagem"/>
    <x v="6"/>
    <n v="45"/>
    <n v="95"/>
    <n v="4275"/>
    <d v="1899-12-30T02:52:48"/>
    <n v="3762"/>
    <d v="2021-04-09T00:00:00"/>
    <d v="2021-04-09T00:00:00"/>
    <n v="860"/>
    <n v="2"/>
    <x v="1"/>
    <n v="0.08"/>
    <n v="300.95999999999998"/>
    <n v="6"/>
    <x v="3"/>
  </r>
  <r>
    <n v="861"/>
    <x v="378"/>
    <n v="45"/>
    <s v="São Paulo"/>
    <x v="4"/>
    <n v="41"/>
    <n v="101"/>
    <n v="4141"/>
    <d v="1899-12-30T03:36:00"/>
    <n v="3519.85"/>
    <d v="2021-04-11T00:00:00"/>
    <d v="2021-04-11T00:00:00"/>
    <n v="861"/>
    <n v="1"/>
    <x v="9"/>
    <n v="7.0000000000000007E-2"/>
    <n v="246.38950000000003"/>
    <n v="7"/>
    <x v="3"/>
  </r>
  <r>
    <n v="862"/>
    <x v="379"/>
    <n v="27"/>
    <s v="Praia Grande"/>
    <x v="7"/>
    <n v="23"/>
    <n v="110"/>
    <n v="2530"/>
    <d v="1899-12-30T01:40:48"/>
    <n v="2352.9"/>
    <d v="2021-04-22T00:00:00"/>
    <d v="2021-04-22T00:00:00"/>
    <n v="862"/>
    <n v="1"/>
    <x v="4"/>
    <n v="0.06"/>
    <n v="141.17400000000001"/>
    <n v="1"/>
    <x v="3"/>
  </r>
  <r>
    <n v="863"/>
    <x v="379"/>
    <n v="32"/>
    <s v="Vila Velha"/>
    <x v="9"/>
    <n v="46"/>
    <n v="106"/>
    <n v="4876"/>
    <d v="1899-12-30T00:14:24"/>
    <n v="4827.24"/>
    <d v="2021-04-26T00:00:00"/>
    <d v="2021-04-26T00:00:00"/>
    <n v="863"/>
    <n v="1"/>
    <x v="3"/>
    <n v="0.08"/>
    <n v="386.17919999999998"/>
    <n v="2"/>
    <x v="3"/>
  </r>
  <r>
    <n v="864"/>
    <x v="380"/>
    <n v="16"/>
    <s v="Eunápolis"/>
    <x v="0"/>
    <n v="28"/>
    <n v="106"/>
    <n v="2968"/>
    <d v="1899-12-30T01:40:48"/>
    <n v="2760.24"/>
    <d v="2021-04-06T00:00:00"/>
    <d v="2021-04-06T00:00:00"/>
    <n v="864"/>
    <n v="4"/>
    <x v="5"/>
    <n v="0.1"/>
    <n v="276.024"/>
    <n v="3"/>
    <x v="3"/>
  </r>
  <r>
    <n v="865"/>
    <x v="381"/>
    <n v="29"/>
    <s v="Teófilo Otoni"/>
    <x v="9"/>
    <n v="30"/>
    <n v="112"/>
    <n v="3360"/>
    <d v="1899-12-30T00:00:00"/>
    <n v="3360"/>
    <d v="2021-04-26T00:00:00"/>
    <d v="2021-04-26T00:00:00"/>
    <n v="865"/>
    <n v="4"/>
    <x v="7"/>
    <n v="7.0000000000000007E-2"/>
    <n v="235.20000000000002"/>
    <n v="4"/>
    <x v="3"/>
  </r>
  <r>
    <n v="866"/>
    <x v="381"/>
    <n v="86"/>
    <s v="Jataí"/>
    <x v="5"/>
    <n v="39"/>
    <n v="108"/>
    <n v="4212"/>
    <d v="1899-12-30T03:36:00"/>
    <n v="3580.2"/>
    <d v="2021-04-21T00:00:00"/>
    <d v="2021-04-21T00:00:00"/>
    <n v="866"/>
    <n v="7"/>
    <x v="6"/>
    <n v="0.05"/>
    <n v="179.01"/>
    <n v="5"/>
    <x v="3"/>
  </r>
  <r>
    <n v="867"/>
    <x v="382"/>
    <n v="18"/>
    <s v="Bagé"/>
    <x v="8"/>
    <n v="14"/>
    <n v="97"/>
    <n v="1358"/>
    <d v="1899-12-30T00:43:12"/>
    <n v="1317.26"/>
    <d v="2021-04-11T00:00:00"/>
    <d v="2021-04-11T00:00:00"/>
    <n v="867"/>
    <n v="2"/>
    <x v="9"/>
    <n v="0.09"/>
    <n v="118.5534"/>
    <n v="6"/>
    <x v="3"/>
  </r>
  <r>
    <n v="868"/>
    <x v="382"/>
    <n v="81"/>
    <s v="Duque de Caxias"/>
    <x v="5"/>
    <n v="15"/>
    <n v="90"/>
    <n v="1350"/>
    <d v="1899-12-30T02:09:36"/>
    <n v="1228.5"/>
    <d v="2021-05-08T00:00:00"/>
    <d v="2021-05-08T00:00:00"/>
    <n v="868"/>
    <n v="6"/>
    <x v="4"/>
    <n v="0.06"/>
    <n v="73.709999999999994"/>
    <n v="7"/>
    <x v="3"/>
  </r>
  <r>
    <n v="869"/>
    <x v="383"/>
    <n v="49"/>
    <s v="São Paulo"/>
    <x v="4"/>
    <n v="29"/>
    <n v="102"/>
    <n v="2958"/>
    <d v="1899-12-30T03:07:12"/>
    <n v="2573.46"/>
    <d v="2021-04-14T00:00:00"/>
    <d v="2021-04-14T00:00:00"/>
    <n v="869"/>
    <n v="3"/>
    <x v="0"/>
    <n v="0.1"/>
    <n v="257.346"/>
    <n v="1"/>
    <x v="3"/>
  </r>
  <r>
    <n v="870"/>
    <x v="383"/>
    <n v="59"/>
    <s v="Garanhuns"/>
    <x v="2"/>
    <n v="29"/>
    <n v="94"/>
    <n v="2726"/>
    <d v="1899-12-30T00:00:00"/>
    <n v="2726"/>
    <d v="2021-04-27T00:00:00"/>
    <d v="2021-04-27T00:00:00"/>
    <n v="870"/>
    <n v="1"/>
    <x v="3"/>
    <n v="0.05"/>
    <n v="136.30000000000001"/>
    <n v="2"/>
    <x v="3"/>
  </r>
  <r>
    <n v="871"/>
    <x v="384"/>
    <n v="15"/>
    <s v="Vila Velha"/>
    <x v="5"/>
    <n v="35"/>
    <n v="109"/>
    <n v="3815"/>
    <d v="1899-12-30T00:14:24"/>
    <n v="3776.85"/>
    <d v="2021-04-30T00:00:00"/>
    <d v="2021-04-30T00:00:00"/>
    <n v="871"/>
    <n v="6"/>
    <x v="3"/>
    <n v="0.06"/>
    <n v="226.61099999999999"/>
    <n v="3"/>
    <x v="3"/>
  </r>
  <r>
    <n v="872"/>
    <x v="384"/>
    <n v="62"/>
    <s v="São Paulo"/>
    <x v="2"/>
    <n v="41"/>
    <n v="115"/>
    <n v="4715"/>
    <d v="1899-12-30T00:28:48"/>
    <n v="4620.7"/>
    <d v="2021-04-23T00:00:00"/>
    <d v="2021-04-23T00:00:00"/>
    <n v="872"/>
    <n v="1"/>
    <x v="9"/>
    <n v="0.09"/>
    <n v="415.86299999999994"/>
    <n v="4"/>
    <x v="3"/>
  </r>
  <r>
    <n v="873"/>
    <x v="384"/>
    <n v="2"/>
    <s v="Laranjeiras do Sul"/>
    <x v="6"/>
    <n v="30"/>
    <n v="108"/>
    <n v="3240"/>
    <d v="1899-12-30T01:12:00"/>
    <n v="3078"/>
    <d v="2021-04-16T00:00:00"/>
    <d v="2021-04-16T00:00:00"/>
    <n v="873"/>
    <n v="6"/>
    <x v="7"/>
    <n v="0.05"/>
    <n v="153.9"/>
    <n v="5"/>
    <x v="3"/>
  </r>
  <r>
    <n v="874"/>
    <x v="385"/>
    <n v="41"/>
    <s v="São João Del Rei"/>
    <x v="6"/>
    <n v="17"/>
    <n v="115"/>
    <n v="1955"/>
    <d v="1899-12-30T00:00:00"/>
    <n v="1955"/>
    <d v="2021-04-21T00:00:00"/>
    <d v="2021-04-21T00:00:00"/>
    <n v="874"/>
    <n v="6"/>
    <x v="7"/>
    <n v="0.1"/>
    <n v="195.5"/>
    <n v="6"/>
    <x v="3"/>
  </r>
  <r>
    <n v="875"/>
    <x v="386"/>
    <n v="31"/>
    <s v="Juiz de Fora"/>
    <x v="5"/>
    <n v="37"/>
    <n v="111"/>
    <n v="4107"/>
    <d v="1899-12-30T00:00:00"/>
    <n v="4107"/>
    <d v="2021-04-28T00:00:00"/>
    <d v="2021-04-28T00:00:00"/>
    <n v="875"/>
    <n v="5"/>
    <x v="1"/>
    <n v="0.1"/>
    <n v="410.70000000000005"/>
    <n v="7"/>
    <x v="3"/>
  </r>
  <r>
    <n v="876"/>
    <x v="387"/>
    <n v="34"/>
    <s v="Brusque"/>
    <x v="1"/>
    <n v="38"/>
    <n v="108"/>
    <n v="4104"/>
    <d v="1899-12-30T01:26:24"/>
    <n v="3857.76"/>
    <d v="2021-04-20T00:00:00"/>
    <d v="2021-04-20T00:00:00"/>
    <n v="876"/>
    <n v="1"/>
    <x v="8"/>
    <n v="0.1"/>
    <n v="385.77600000000007"/>
    <n v="1"/>
    <x v="3"/>
  </r>
  <r>
    <n v="877"/>
    <x v="387"/>
    <n v="28"/>
    <s v="João Pessoa"/>
    <x v="3"/>
    <n v="42"/>
    <n v="96"/>
    <n v="4032"/>
    <d v="1899-12-30T02:52:48"/>
    <n v="3548.16"/>
    <d v="2021-04-21T00:00:00"/>
    <d v="2021-04-21T00:00:00"/>
    <n v="877"/>
    <n v="6"/>
    <x v="7"/>
    <n v="0.08"/>
    <n v="283.8528"/>
    <n v="2"/>
    <x v="3"/>
  </r>
  <r>
    <n v="878"/>
    <x v="388"/>
    <n v="6"/>
    <s v="Jaú"/>
    <x v="2"/>
    <n v="16"/>
    <n v="93"/>
    <n v="1488"/>
    <d v="1899-12-30T02:52:48"/>
    <n v="1309.44"/>
    <d v="2021-05-14T00:00:00"/>
    <d v="2021-05-14T00:00:00"/>
    <n v="878"/>
    <n v="1"/>
    <x v="2"/>
    <n v="0.05"/>
    <n v="65.472000000000008"/>
    <n v="3"/>
    <x v="3"/>
  </r>
  <r>
    <n v="879"/>
    <x v="388"/>
    <n v="37"/>
    <s v="Arcoverde"/>
    <x v="2"/>
    <n v="44"/>
    <n v="96"/>
    <n v="4224"/>
    <d v="1899-12-30T01:12:00"/>
    <n v="4012.8"/>
    <d v="2021-05-02T00:00:00"/>
    <d v="2021-05-02T00:00:00"/>
    <n v="879"/>
    <n v="7"/>
    <x v="1"/>
    <n v="0.08"/>
    <n v="321.024"/>
    <n v="4"/>
    <x v="3"/>
  </r>
  <r>
    <n v="880"/>
    <x v="388"/>
    <n v="45"/>
    <s v="São Paulo"/>
    <x v="3"/>
    <n v="43"/>
    <n v="110"/>
    <n v="4730"/>
    <d v="1899-12-30T00:43:12"/>
    <n v="4588.1000000000004"/>
    <d v="2021-05-17T00:00:00"/>
    <d v="2021-05-17T00:00:00"/>
    <n v="880"/>
    <n v="2"/>
    <x v="0"/>
    <n v="0.08"/>
    <n v="367.04800000000006"/>
    <n v="5"/>
    <x v="3"/>
  </r>
  <r>
    <n v="881"/>
    <x v="388"/>
    <n v="53"/>
    <s v="Jaú"/>
    <x v="6"/>
    <n v="31"/>
    <n v="120"/>
    <n v="3720"/>
    <d v="1899-12-30T03:21:36"/>
    <n v="3199.2"/>
    <d v="2021-05-01T00:00:00"/>
    <d v="2021-05-01T00:00:00"/>
    <n v="881"/>
    <n v="3"/>
    <x v="0"/>
    <n v="0.1"/>
    <n v="319.92"/>
    <n v="6"/>
    <x v="3"/>
  </r>
  <r>
    <n v="882"/>
    <x v="389"/>
    <n v="9"/>
    <s v="Governador Valadares"/>
    <x v="1"/>
    <n v="33"/>
    <n v="109"/>
    <n v="3597"/>
    <d v="1899-12-30T00:43:12"/>
    <n v="3489.09"/>
    <d v="2021-04-25T00:00:00"/>
    <d v="2021-04-25T00:00:00"/>
    <n v="882"/>
    <n v="1"/>
    <x v="0"/>
    <n v="0.1"/>
    <n v="348.90900000000005"/>
    <n v="7"/>
    <x v="3"/>
  </r>
  <r>
    <n v="883"/>
    <x v="390"/>
    <n v="65"/>
    <s v="Ariquemes"/>
    <x v="3"/>
    <n v="32"/>
    <n v="118"/>
    <n v="3776"/>
    <d v="1899-12-30T00:00:00"/>
    <n v="3776"/>
    <d v="2021-05-21T00:00:00"/>
    <d v="2021-05-21T00:00:00"/>
    <n v="883"/>
    <n v="7"/>
    <x v="6"/>
    <n v="7.0000000000000007E-2"/>
    <n v="264.32000000000005"/>
    <n v="1"/>
    <x v="3"/>
  </r>
  <r>
    <n v="884"/>
    <x v="390"/>
    <n v="36"/>
    <s v="Campo Largo"/>
    <x v="3"/>
    <n v="34"/>
    <n v="111"/>
    <n v="3774"/>
    <d v="1899-12-30T01:55:12"/>
    <n v="3472.08"/>
    <d v="2021-05-18T00:00:00"/>
    <d v="2021-05-18T00:00:00"/>
    <n v="884"/>
    <n v="3"/>
    <x v="5"/>
    <n v="0.05"/>
    <n v="173.60400000000001"/>
    <n v="2"/>
    <x v="3"/>
  </r>
  <r>
    <n v="885"/>
    <x v="390"/>
    <n v="78"/>
    <s v="Governador Valadares"/>
    <x v="6"/>
    <n v="44"/>
    <n v="99"/>
    <n v="4356"/>
    <d v="1899-12-30T02:38:24"/>
    <n v="3876.84"/>
    <d v="2021-05-10T00:00:00"/>
    <d v="2021-05-10T00:00:00"/>
    <n v="885"/>
    <n v="4"/>
    <x v="6"/>
    <n v="0.05"/>
    <n v="193.84200000000001"/>
    <n v="3"/>
    <x v="3"/>
  </r>
  <r>
    <n v="886"/>
    <x v="391"/>
    <n v="86"/>
    <s v="Jataí"/>
    <x v="1"/>
    <n v="29"/>
    <n v="114"/>
    <n v="3306"/>
    <d v="1899-12-30T01:40:48"/>
    <n v="3074.58"/>
    <d v="2021-05-23T00:00:00"/>
    <d v="2021-05-23T00:00:00"/>
    <n v="886"/>
    <n v="2"/>
    <x v="2"/>
    <n v="7.0000000000000007E-2"/>
    <n v="215.22060000000002"/>
    <n v="4"/>
    <x v="3"/>
  </r>
  <r>
    <n v="887"/>
    <x v="391"/>
    <n v="70"/>
    <s v="Rio de Janeiro"/>
    <x v="3"/>
    <n v="29"/>
    <n v="117"/>
    <n v="3393"/>
    <d v="1899-12-30T00:14:24"/>
    <n v="3359.07"/>
    <d v="2021-05-09T00:00:00"/>
    <d v="2021-05-09T00:00:00"/>
    <n v="887"/>
    <n v="4"/>
    <x v="8"/>
    <n v="0.06"/>
    <n v="201.54419999999999"/>
    <n v="5"/>
    <x v="3"/>
  </r>
  <r>
    <n v="888"/>
    <x v="392"/>
    <n v="18"/>
    <s v="Bagé"/>
    <x v="5"/>
    <n v="25"/>
    <n v="107"/>
    <n v="2675"/>
    <d v="1899-12-30T01:26:24"/>
    <n v="2514.5"/>
    <d v="2021-04-26T00:00:00"/>
    <d v="2021-04-26T00:00:00"/>
    <n v="888"/>
    <n v="7"/>
    <x v="3"/>
    <n v="0.05"/>
    <n v="125.72500000000001"/>
    <n v="6"/>
    <x v="3"/>
  </r>
  <r>
    <n v="889"/>
    <x v="393"/>
    <n v="12"/>
    <s v="São José do Rio Preto"/>
    <x v="6"/>
    <n v="30"/>
    <n v="95"/>
    <n v="2850"/>
    <d v="1899-12-30T02:52:48"/>
    <n v="2508"/>
    <d v="2021-05-17T00:00:00"/>
    <d v="2021-05-17T00:00:00"/>
    <n v="889"/>
    <n v="1"/>
    <x v="7"/>
    <n v="0.08"/>
    <n v="200.64000000000001"/>
    <n v="7"/>
    <x v="3"/>
  </r>
  <r>
    <n v="890"/>
    <x v="393"/>
    <n v="33"/>
    <s v="Ituiutaba"/>
    <x v="0"/>
    <n v="27"/>
    <n v="99"/>
    <n v="2673"/>
    <d v="1899-12-30T01:40:48"/>
    <n v="2485.89"/>
    <d v="2021-05-19T00:00:00"/>
    <d v="2021-05-19T00:00:00"/>
    <n v="890"/>
    <n v="1"/>
    <x v="8"/>
    <n v="0.09"/>
    <n v="223.73009999999999"/>
    <n v="1"/>
    <x v="3"/>
  </r>
  <r>
    <n v="891"/>
    <x v="393"/>
    <n v="44"/>
    <s v="Atibaia"/>
    <x v="0"/>
    <n v="26"/>
    <n v="111"/>
    <n v="2886"/>
    <d v="1899-12-30T02:09:36"/>
    <n v="2626.26"/>
    <d v="2021-05-12T00:00:00"/>
    <d v="2021-05-12T00:00:00"/>
    <n v="891"/>
    <n v="1"/>
    <x v="9"/>
    <n v="7.0000000000000007E-2"/>
    <n v="183.83820000000003"/>
    <n v="2"/>
    <x v="3"/>
  </r>
  <r>
    <n v="892"/>
    <x v="393"/>
    <n v="67"/>
    <s v="Barra do Piraí"/>
    <x v="2"/>
    <n v="14"/>
    <n v="95"/>
    <n v="1330"/>
    <d v="1899-12-30T03:36:00"/>
    <n v="1130.5"/>
    <d v="2021-05-05T00:00:00"/>
    <d v="2021-05-05T00:00:00"/>
    <n v="892"/>
    <n v="1"/>
    <x v="9"/>
    <n v="0.08"/>
    <n v="90.44"/>
    <n v="3"/>
    <x v="3"/>
  </r>
  <r>
    <n v="893"/>
    <x v="394"/>
    <n v="43"/>
    <s v="Dourados"/>
    <x v="2"/>
    <n v="33"/>
    <n v="99"/>
    <n v="3267"/>
    <d v="1899-12-30T02:38:24"/>
    <n v="2907.63"/>
    <d v="2021-04-28T00:00:00"/>
    <d v="2021-04-28T00:00:00"/>
    <n v="893"/>
    <n v="3"/>
    <x v="1"/>
    <n v="0.1"/>
    <n v="290.76300000000003"/>
    <n v="4"/>
    <x v="3"/>
  </r>
  <r>
    <n v="894"/>
    <x v="394"/>
    <n v="80"/>
    <s v="São Paulo"/>
    <x v="0"/>
    <n v="10"/>
    <n v="92"/>
    <n v="920"/>
    <d v="1899-12-30T00:43:12"/>
    <n v="892.4"/>
    <d v="2021-05-18T00:00:00"/>
    <d v="2021-05-18T00:00:00"/>
    <n v="894"/>
    <n v="4"/>
    <x v="4"/>
    <n v="0.09"/>
    <n v="80.315999999999988"/>
    <n v="5"/>
    <x v="3"/>
  </r>
  <r>
    <n v="895"/>
    <x v="395"/>
    <n v="87"/>
    <s v="Fortaleza"/>
    <x v="1"/>
    <n v="43"/>
    <n v="96"/>
    <n v="4128"/>
    <d v="1899-12-30T01:40:48"/>
    <n v="3839.04"/>
    <d v="2021-04-29T00:00:00"/>
    <d v="2021-04-29T00:00:00"/>
    <n v="895"/>
    <n v="2"/>
    <x v="4"/>
    <n v="0.06"/>
    <n v="230.3424"/>
    <n v="6"/>
    <x v="3"/>
  </r>
  <r>
    <n v="896"/>
    <x v="395"/>
    <n v="42"/>
    <s v="Mauá"/>
    <x v="6"/>
    <n v="18"/>
    <n v="105"/>
    <n v="1890"/>
    <d v="1899-12-30T01:40:48"/>
    <n v="1757.7"/>
    <d v="2021-05-20T00:00:00"/>
    <d v="2021-05-20T00:00:00"/>
    <n v="896"/>
    <n v="2"/>
    <x v="1"/>
    <n v="7.0000000000000007E-2"/>
    <n v="123.03900000000002"/>
    <n v="7"/>
    <x v="3"/>
  </r>
  <r>
    <n v="897"/>
    <x v="395"/>
    <n v="31"/>
    <s v="Juiz de Fora"/>
    <x v="6"/>
    <n v="32"/>
    <n v="100"/>
    <n v="3200"/>
    <d v="1899-12-30T02:09:36"/>
    <n v="2912"/>
    <d v="2021-05-05T00:00:00"/>
    <d v="2021-05-05T00:00:00"/>
    <n v="897"/>
    <n v="6"/>
    <x v="0"/>
    <n v="0.1"/>
    <n v="291.2"/>
    <n v="1"/>
    <x v="3"/>
  </r>
  <r>
    <n v="898"/>
    <x v="396"/>
    <n v="7"/>
    <s v="Cabo de Santo Agostinho"/>
    <x v="3"/>
    <n v="35"/>
    <n v="113"/>
    <n v="3955"/>
    <d v="1899-12-30T01:12:00"/>
    <n v="3757.25"/>
    <d v="2021-05-06T00:00:00"/>
    <m/>
    <n v="898"/>
    <n v="1"/>
    <x v="7"/>
    <n v="0.09"/>
    <n v="338.15249999999997"/>
    <n v="2"/>
    <x v="3"/>
  </r>
  <r>
    <n v="899"/>
    <x v="396"/>
    <n v="54"/>
    <s v="São Gonçalo"/>
    <x v="5"/>
    <n v="48"/>
    <n v="102"/>
    <n v="4896"/>
    <d v="1899-12-30T03:36:00"/>
    <n v="4161.6000000000004"/>
    <d v="2021-05-03T00:00:00"/>
    <d v="2021-05-03T00:00:00"/>
    <n v="899"/>
    <n v="1"/>
    <x v="4"/>
    <n v="0.09"/>
    <n v="374.54400000000004"/>
    <n v="3"/>
    <x v="3"/>
  </r>
  <r>
    <n v="900"/>
    <x v="396"/>
    <n v="22"/>
    <s v="Núcleo Bandeirante"/>
    <x v="6"/>
    <n v="35"/>
    <n v="111"/>
    <n v="3885"/>
    <d v="1899-12-30T01:26:24"/>
    <n v="3651.9"/>
    <d v="2021-05-06T00:00:00"/>
    <d v="2021-05-06T00:00:00"/>
    <n v="900"/>
    <n v="5"/>
    <x v="3"/>
    <n v="0.1"/>
    <n v="365.19000000000005"/>
    <n v="4"/>
    <x v="3"/>
  </r>
  <r>
    <n v="901"/>
    <x v="396"/>
    <n v="39"/>
    <s v="São Paulo"/>
    <x v="3"/>
    <n v="46"/>
    <n v="112"/>
    <n v="5152"/>
    <d v="1899-12-30T00:28:48"/>
    <n v="5048.96"/>
    <d v="2021-05-14T00:00:00"/>
    <d v="2021-05-14T00:00:00"/>
    <n v="901"/>
    <n v="4"/>
    <x v="6"/>
    <n v="0.05"/>
    <n v="252.44800000000001"/>
    <n v="5"/>
    <x v="3"/>
  </r>
  <r>
    <n v="902"/>
    <x v="397"/>
    <n v="100"/>
    <s v="São Paulo"/>
    <x v="8"/>
    <n v="31"/>
    <n v="109"/>
    <n v="3379"/>
    <d v="1899-12-30T01:55:12"/>
    <n v="3108.68"/>
    <d v="2021-05-28T00:00:00"/>
    <d v="2021-05-28T00:00:00"/>
    <n v="902"/>
    <n v="6"/>
    <x v="8"/>
    <n v="7.0000000000000007E-2"/>
    <n v="217.60760000000002"/>
    <n v="6"/>
    <x v="3"/>
  </r>
  <r>
    <n v="903"/>
    <x v="397"/>
    <n v="28"/>
    <s v="João Pessoa"/>
    <x v="5"/>
    <n v="40"/>
    <n v="103"/>
    <n v="4120"/>
    <d v="1899-12-30T01:55:12"/>
    <n v="3790.4"/>
    <d v="2021-05-12T00:00:00"/>
    <d v="2021-05-12T00:00:00"/>
    <n v="903"/>
    <n v="6"/>
    <x v="8"/>
    <n v="7.0000000000000007E-2"/>
    <n v="265.32800000000003"/>
    <n v="7"/>
    <x v="3"/>
  </r>
  <r>
    <n v="904"/>
    <x v="397"/>
    <n v="65"/>
    <s v="Ariquemes"/>
    <x v="2"/>
    <n v="20"/>
    <n v="90"/>
    <n v="1800"/>
    <d v="1899-12-30T00:14:24"/>
    <n v="1782"/>
    <d v="2021-05-21T00:00:00"/>
    <d v="2021-05-21T00:00:00"/>
    <n v="904"/>
    <n v="5"/>
    <x v="3"/>
    <n v="0.08"/>
    <n v="142.56"/>
    <n v="1"/>
    <x v="3"/>
  </r>
  <r>
    <n v="905"/>
    <x v="398"/>
    <n v="20"/>
    <s v="São Bernardo do Campo"/>
    <x v="6"/>
    <n v="11"/>
    <n v="105"/>
    <n v="1155"/>
    <d v="1899-12-30T00:57:36"/>
    <n v="1108.8"/>
    <d v="2021-05-22T00:00:00"/>
    <m/>
    <n v="905"/>
    <n v="6"/>
    <x v="1"/>
    <n v="0.1"/>
    <n v="110.88"/>
    <n v="2"/>
    <x v="4"/>
  </r>
  <r>
    <n v="906"/>
    <x v="398"/>
    <n v="83"/>
    <s v="Queimados"/>
    <x v="9"/>
    <n v="29"/>
    <n v="109"/>
    <n v="3161"/>
    <d v="1899-12-30T02:38:24"/>
    <n v="2813.29"/>
    <d v="2021-05-25T00:00:00"/>
    <d v="2021-05-25T00:00:00"/>
    <n v="906"/>
    <n v="7"/>
    <x v="9"/>
    <n v="0.06"/>
    <n v="168.79739999999998"/>
    <n v="3"/>
    <x v="4"/>
  </r>
  <r>
    <n v="907"/>
    <x v="399"/>
    <n v="17"/>
    <s v="Rio de Janeiro"/>
    <x v="5"/>
    <n v="15"/>
    <n v="110"/>
    <n v="1650"/>
    <d v="1899-12-30T03:07:12"/>
    <n v="1435.5"/>
    <d v="2021-05-24T00:00:00"/>
    <d v="2021-05-24T00:00:00"/>
    <n v="907"/>
    <n v="4"/>
    <x v="2"/>
    <n v="0.06"/>
    <n v="86.13"/>
    <n v="4"/>
    <x v="4"/>
  </r>
  <r>
    <n v="908"/>
    <x v="399"/>
    <n v="95"/>
    <s v="São Paulo"/>
    <x v="5"/>
    <n v="12"/>
    <n v="103"/>
    <n v="1236"/>
    <d v="1899-12-30T02:24:00"/>
    <n v="1112.4000000000001"/>
    <d v="2021-05-13T00:00:00"/>
    <d v="2021-05-13T00:00:00"/>
    <n v="908"/>
    <n v="7"/>
    <x v="7"/>
    <n v="0.09"/>
    <n v="100.116"/>
    <n v="5"/>
    <x v="4"/>
  </r>
  <r>
    <n v="909"/>
    <x v="399"/>
    <n v="64"/>
    <s v="Juazeiro"/>
    <x v="0"/>
    <n v="40"/>
    <n v="92"/>
    <n v="3680"/>
    <d v="1899-12-30T02:24:00"/>
    <n v="3312"/>
    <d v="2021-05-23T00:00:00"/>
    <d v="2021-05-23T00:00:00"/>
    <n v="909"/>
    <n v="2"/>
    <x v="7"/>
    <n v="7.0000000000000007E-2"/>
    <n v="231.84000000000003"/>
    <n v="6"/>
    <x v="4"/>
  </r>
  <r>
    <n v="910"/>
    <x v="400"/>
    <n v="12"/>
    <s v="São José do Rio Preto"/>
    <x v="6"/>
    <n v="23"/>
    <n v="104"/>
    <n v="2392"/>
    <d v="1899-12-30T03:21:36"/>
    <n v="2057.12"/>
    <d v="2021-05-16T00:00:00"/>
    <d v="2021-05-16T00:00:00"/>
    <n v="910"/>
    <n v="6"/>
    <x v="9"/>
    <n v="0.05"/>
    <n v="102.85599999999999"/>
    <n v="7"/>
    <x v="4"/>
  </r>
  <r>
    <n v="911"/>
    <x v="400"/>
    <n v="67"/>
    <s v="Barra do Piraí"/>
    <x v="8"/>
    <n v="12"/>
    <n v="92"/>
    <n v="1104"/>
    <d v="1899-12-30T01:12:00"/>
    <n v="1048.8"/>
    <d v="2021-05-30T00:00:00"/>
    <d v="2021-05-30T00:00:00"/>
    <n v="911"/>
    <n v="1"/>
    <x v="6"/>
    <n v="0.09"/>
    <n v="94.391999999999996"/>
    <n v="1"/>
    <x v="4"/>
  </r>
  <r>
    <n v="912"/>
    <x v="401"/>
    <n v="50"/>
    <s v="Patos de Minas"/>
    <x v="7"/>
    <n v="11"/>
    <n v="119"/>
    <n v="1309"/>
    <d v="1899-12-30T03:21:36"/>
    <n v="1125.74"/>
    <d v="2021-05-07T00:00:00"/>
    <d v="2021-05-07T00:00:00"/>
    <n v="912"/>
    <n v="4"/>
    <x v="6"/>
    <n v="0.1"/>
    <n v="112.57400000000001"/>
    <n v="2"/>
    <x v="4"/>
  </r>
  <r>
    <n v="913"/>
    <x v="401"/>
    <n v="86"/>
    <s v="Jataí"/>
    <x v="1"/>
    <n v="18"/>
    <n v="102"/>
    <n v="1836"/>
    <d v="1899-12-30T01:26:24"/>
    <n v="1725.84"/>
    <d v="2021-05-06T00:00:00"/>
    <d v="2021-05-06T00:00:00"/>
    <n v="913"/>
    <n v="1"/>
    <x v="1"/>
    <n v="0.1"/>
    <n v="172.584"/>
    <n v="3"/>
    <x v="4"/>
  </r>
  <r>
    <n v="914"/>
    <x v="402"/>
    <n v="86"/>
    <s v="Jataí"/>
    <x v="2"/>
    <n v="40"/>
    <n v="107"/>
    <n v="4280"/>
    <d v="1899-12-30T02:52:48"/>
    <n v="3766.4"/>
    <d v="2021-05-26T00:00:00"/>
    <d v="2021-05-26T00:00:00"/>
    <n v="914"/>
    <n v="3"/>
    <x v="7"/>
    <n v="0.06"/>
    <n v="225.98400000000001"/>
    <n v="4"/>
    <x v="4"/>
  </r>
  <r>
    <n v="915"/>
    <x v="402"/>
    <n v="42"/>
    <s v="Mauá"/>
    <x v="3"/>
    <n v="20"/>
    <n v="115"/>
    <n v="2300"/>
    <d v="1899-12-30T01:12:00"/>
    <n v="2185"/>
    <d v="2021-05-26T00:00:00"/>
    <d v="2021-05-26T00:00:00"/>
    <n v="915"/>
    <n v="5"/>
    <x v="5"/>
    <n v="0.05"/>
    <n v="109.25"/>
    <n v="5"/>
    <x v="4"/>
  </r>
  <r>
    <n v="916"/>
    <x v="403"/>
    <n v="58"/>
    <s v="Natal"/>
    <x v="3"/>
    <n v="16"/>
    <n v="116"/>
    <n v="1856"/>
    <d v="1899-12-30T03:21:36"/>
    <n v="1596.1599999999999"/>
    <d v="2021-06-07T00:00:00"/>
    <d v="2021-06-07T00:00:00"/>
    <n v="916"/>
    <n v="3"/>
    <x v="1"/>
    <n v="0.1"/>
    <n v="159.61599999999999"/>
    <n v="6"/>
    <x v="4"/>
  </r>
  <r>
    <n v="917"/>
    <x v="403"/>
    <n v="30"/>
    <s v="Vitória da Conquista"/>
    <x v="6"/>
    <n v="36"/>
    <n v="119"/>
    <n v="4284"/>
    <d v="1899-12-30T00:57:36"/>
    <n v="4112.6400000000003"/>
    <d v="2021-05-10T00:00:00"/>
    <d v="2021-05-10T00:00:00"/>
    <n v="917"/>
    <n v="2"/>
    <x v="4"/>
    <n v="0.09"/>
    <n v="370.13760000000002"/>
    <n v="7"/>
    <x v="4"/>
  </r>
  <r>
    <n v="918"/>
    <x v="404"/>
    <n v="99"/>
    <s v="Foz do Iguaçu"/>
    <x v="3"/>
    <n v="37"/>
    <n v="119"/>
    <n v="4403"/>
    <d v="1899-12-30T01:55:12"/>
    <n v="4050.76"/>
    <d v="2021-05-31T00:00:00"/>
    <d v="2021-05-31T00:00:00"/>
    <n v="918"/>
    <n v="3"/>
    <x v="2"/>
    <n v="0.05"/>
    <n v="202.53800000000001"/>
    <n v="1"/>
    <x v="4"/>
  </r>
  <r>
    <n v="919"/>
    <x v="405"/>
    <n v="1"/>
    <s v="Santos"/>
    <x v="7"/>
    <n v="43"/>
    <n v="91"/>
    <n v="3913"/>
    <d v="1899-12-30T01:26:24"/>
    <n v="3678.22"/>
    <d v="2021-06-08T00:00:00"/>
    <d v="2021-06-08T00:00:00"/>
    <n v="919"/>
    <n v="3"/>
    <x v="4"/>
    <n v="7.0000000000000007E-2"/>
    <n v="257.47540000000004"/>
    <n v="2"/>
    <x v="4"/>
  </r>
  <r>
    <n v="920"/>
    <x v="405"/>
    <n v="29"/>
    <s v="Teófilo Otoni"/>
    <x v="1"/>
    <n v="21"/>
    <n v="115"/>
    <n v="2415"/>
    <d v="1899-12-30T00:28:48"/>
    <n v="2366.6999999999998"/>
    <d v="2021-05-21T00:00:00"/>
    <d v="2021-05-21T00:00:00"/>
    <n v="920"/>
    <n v="2"/>
    <x v="4"/>
    <n v="0.05"/>
    <n v="118.33499999999999"/>
    <n v="3"/>
    <x v="4"/>
  </r>
  <r>
    <n v="921"/>
    <x v="405"/>
    <n v="79"/>
    <s v="Salvador"/>
    <x v="3"/>
    <n v="48"/>
    <n v="106"/>
    <n v="5088"/>
    <d v="1899-12-30T02:38:24"/>
    <n v="4528.32"/>
    <d v="2021-06-09T00:00:00"/>
    <d v="2021-06-09T00:00:00"/>
    <n v="921"/>
    <n v="3"/>
    <x v="6"/>
    <n v="0.09"/>
    <n v="407.54879999999997"/>
    <n v="4"/>
    <x v="4"/>
  </r>
  <r>
    <n v="922"/>
    <x v="405"/>
    <n v="44"/>
    <s v="Atibaia"/>
    <x v="5"/>
    <n v="25"/>
    <n v="117"/>
    <n v="2925"/>
    <d v="1899-12-30T01:40:48"/>
    <n v="2720.25"/>
    <d v="2021-05-24T00:00:00"/>
    <d v="2021-05-24T00:00:00"/>
    <n v="922"/>
    <n v="5"/>
    <x v="5"/>
    <n v="7.0000000000000007E-2"/>
    <n v="190.41750000000002"/>
    <n v="5"/>
    <x v="4"/>
  </r>
  <r>
    <n v="923"/>
    <x v="406"/>
    <n v="27"/>
    <s v="Praia Grande"/>
    <x v="9"/>
    <n v="45"/>
    <n v="100"/>
    <n v="4500"/>
    <d v="1899-12-30T01:55:12"/>
    <n v="4140"/>
    <d v="2021-05-30T00:00:00"/>
    <d v="2021-05-30T00:00:00"/>
    <n v="923"/>
    <n v="1"/>
    <x v="9"/>
    <n v="0.06"/>
    <n v="248.39999999999998"/>
    <n v="6"/>
    <x v="4"/>
  </r>
  <r>
    <n v="924"/>
    <x v="406"/>
    <n v="9"/>
    <s v="Governador Valadares"/>
    <x v="1"/>
    <n v="24"/>
    <n v="106"/>
    <n v="2544"/>
    <d v="1899-12-30T00:14:24"/>
    <n v="2518.56"/>
    <d v="2021-06-07T00:00:00"/>
    <d v="2021-06-07T00:00:00"/>
    <n v="924"/>
    <n v="6"/>
    <x v="9"/>
    <n v="0.09"/>
    <n v="226.6704"/>
    <n v="7"/>
    <x v="4"/>
  </r>
  <r>
    <n v="925"/>
    <x v="407"/>
    <n v="32"/>
    <s v="Vila Velha"/>
    <x v="1"/>
    <n v="48"/>
    <n v="113"/>
    <n v="5424"/>
    <d v="1899-12-30T00:14:24"/>
    <n v="5369.76"/>
    <d v="2021-06-10T00:00:00"/>
    <d v="2021-06-10T00:00:00"/>
    <n v="925"/>
    <n v="6"/>
    <x v="1"/>
    <n v="0.09"/>
    <n v="483.27839999999998"/>
    <n v="1"/>
    <x v="4"/>
  </r>
  <r>
    <n v="926"/>
    <x v="408"/>
    <n v="97"/>
    <s v="Franca"/>
    <x v="9"/>
    <n v="30"/>
    <n v="99"/>
    <n v="2970"/>
    <d v="1899-12-30T00:00:00"/>
    <n v="2970"/>
    <d v="2021-05-20T00:00:00"/>
    <d v="2021-05-20T00:00:00"/>
    <n v="926"/>
    <n v="4"/>
    <x v="0"/>
    <n v="0.1"/>
    <n v="297"/>
    <n v="2"/>
    <x v="4"/>
  </r>
  <r>
    <n v="927"/>
    <x v="409"/>
    <n v="42"/>
    <s v="Mauá"/>
    <x v="1"/>
    <n v="48"/>
    <n v="108"/>
    <n v="5184"/>
    <d v="1899-12-30T02:09:36"/>
    <n v="4717.4399999999996"/>
    <d v="2021-06-12T00:00:00"/>
    <d v="2021-06-12T00:00:00"/>
    <n v="927"/>
    <n v="5"/>
    <x v="9"/>
    <n v="7.0000000000000007E-2"/>
    <n v="330.2208"/>
    <n v="3"/>
    <x v="4"/>
  </r>
  <r>
    <n v="928"/>
    <x v="409"/>
    <n v="44"/>
    <s v="Atibaia"/>
    <x v="3"/>
    <n v="19"/>
    <n v="91"/>
    <n v="1729"/>
    <d v="1899-12-30T00:57:36"/>
    <n v="1659.84"/>
    <d v="2021-06-05T00:00:00"/>
    <d v="2021-06-05T00:00:00"/>
    <n v="928"/>
    <n v="4"/>
    <x v="2"/>
    <n v="0.1"/>
    <n v="165.98400000000001"/>
    <n v="4"/>
    <x v="4"/>
  </r>
  <r>
    <n v="929"/>
    <x v="410"/>
    <n v="85"/>
    <s v="Piraquara"/>
    <x v="3"/>
    <n v="18"/>
    <n v="94"/>
    <n v="1692"/>
    <d v="1899-12-30T00:14:24"/>
    <n v="1675.08"/>
    <d v="2021-06-13T00:00:00"/>
    <d v="2021-06-13T00:00:00"/>
    <n v="929"/>
    <n v="7"/>
    <x v="5"/>
    <n v="0.08"/>
    <n v="134.00639999999999"/>
    <n v="5"/>
    <x v="4"/>
  </r>
  <r>
    <n v="930"/>
    <x v="410"/>
    <n v="62"/>
    <s v="São Paulo"/>
    <x v="4"/>
    <n v="43"/>
    <n v="95"/>
    <n v="4085"/>
    <d v="1899-12-30T00:28:48"/>
    <n v="4003.3"/>
    <d v="2021-05-24T00:00:00"/>
    <d v="2021-05-24T00:00:00"/>
    <n v="930"/>
    <n v="2"/>
    <x v="1"/>
    <n v="0.06"/>
    <n v="240.19800000000001"/>
    <n v="6"/>
    <x v="4"/>
  </r>
  <r>
    <n v="931"/>
    <x v="410"/>
    <n v="75"/>
    <s v="São Paulo"/>
    <x v="3"/>
    <n v="38"/>
    <n v="104"/>
    <n v="3952"/>
    <d v="1899-12-30T03:21:36"/>
    <n v="3398.72"/>
    <d v="2021-05-25T00:00:00"/>
    <d v="2021-05-25T00:00:00"/>
    <n v="931"/>
    <n v="1"/>
    <x v="2"/>
    <n v="0.06"/>
    <n v="203.92319999999998"/>
    <n v="7"/>
    <x v="4"/>
  </r>
  <r>
    <n v="932"/>
    <x v="411"/>
    <n v="47"/>
    <s v="Fortaleza"/>
    <x v="1"/>
    <n v="10"/>
    <n v="104"/>
    <n v="1040"/>
    <d v="1899-12-30T03:21:36"/>
    <n v="894.4"/>
    <d v="2021-06-03T00:00:00"/>
    <d v="2021-06-03T00:00:00"/>
    <n v="932"/>
    <n v="2"/>
    <x v="4"/>
    <n v="0.06"/>
    <n v="53.663999999999994"/>
    <n v="1"/>
    <x v="4"/>
  </r>
  <r>
    <n v="933"/>
    <x v="412"/>
    <n v="24"/>
    <s v="Viamão"/>
    <x v="4"/>
    <n v="23"/>
    <n v="90"/>
    <n v="2070"/>
    <d v="1899-12-30T03:36:00"/>
    <n v="1759.5"/>
    <d v="2021-05-29T00:00:00"/>
    <d v="2021-05-29T00:00:00"/>
    <n v="933"/>
    <n v="2"/>
    <x v="8"/>
    <n v="0.08"/>
    <n v="140.76"/>
    <n v="2"/>
    <x v="4"/>
  </r>
  <r>
    <n v="934"/>
    <x v="412"/>
    <n v="38"/>
    <s v="Belo Horizonte"/>
    <x v="1"/>
    <n v="37"/>
    <n v="91"/>
    <n v="3367"/>
    <d v="1899-12-30T01:40:48"/>
    <n v="3131.31"/>
    <d v="2021-05-21T00:00:00"/>
    <d v="2021-05-21T00:00:00"/>
    <n v="934"/>
    <n v="7"/>
    <x v="9"/>
    <n v="7.0000000000000007E-2"/>
    <n v="219.19170000000003"/>
    <n v="3"/>
    <x v="4"/>
  </r>
  <r>
    <n v="935"/>
    <x v="413"/>
    <n v="91"/>
    <s v="Itaquaquecetuba"/>
    <x v="6"/>
    <n v="15"/>
    <n v="91"/>
    <n v="1365"/>
    <d v="1899-12-30T00:00:00"/>
    <n v="1365"/>
    <d v="2021-05-30T00:00:00"/>
    <d v="2021-05-30T00:00:00"/>
    <n v="935"/>
    <n v="1"/>
    <x v="6"/>
    <n v="0.06"/>
    <n v="81.899999999999991"/>
    <n v="4"/>
    <x v="4"/>
  </r>
  <r>
    <n v="936"/>
    <x v="414"/>
    <n v="77"/>
    <s v="Sorocaba"/>
    <x v="5"/>
    <n v="19"/>
    <n v="119"/>
    <n v="2261"/>
    <d v="1899-12-30T03:21:36"/>
    <n v="1944.46"/>
    <d v="2021-06-03T00:00:00"/>
    <d v="2021-06-03T00:00:00"/>
    <n v="936"/>
    <n v="2"/>
    <x v="6"/>
    <n v="0.08"/>
    <n v="155.55680000000001"/>
    <n v="5"/>
    <x v="4"/>
  </r>
  <r>
    <n v="937"/>
    <x v="414"/>
    <n v="18"/>
    <s v="Bagé"/>
    <x v="5"/>
    <n v="23"/>
    <n v="102"/>
    <n v="2346"/>
    <d v="1899-12-30T01:55:12"/>
    <n v="2158.3200000000002"/>
    <d v="2021-06-08T00:00:00"/>
    <d v="2021-06-08T00:00:00"/>
    <n v="937"/>
    <n v="5"/>
    <x v="9"/>
    <n v="0.1"/>
    <n v="215.83200000000002"/>
    <n v="6"/>
    <x v="4"/>
  </r>
  <r>
    <n v="938"/>
    <x v="414"/>
    <n v="81"/>
    <s v="Duque de Caxias"/>
    <x v="3"/>
    <n v="48"/>
    <n v="113"/>
    <n v="5424"/>
    <d v="1899-12-30T01:40:48"/>
    <n v="5044.32"/>
    <d v="2021-05-21T00:00:00"/>
    <d v="2021-05-21T00:00:00"/>
    <n v="938"/>
    <n v="6"/>
    <x v="6"/>
    <n v="0.06"/>
    <n v="302.6592"/>
    <n v="7"/>
    <x v="4"/>
  </r>
  <r>
    <n v="939"/>
    <x v="415"/>
    <n v="27"/>
    <s v="Praia Grande"/>
    <x v="2"/>
    <n v="36"/>
    <n v="102"/>
    <n v="3672"/>
    <d v="1899-12-30T02:38:24"/>
    <n v="3268.08"/>
    <d v="2021-06-04T00:00:00"/>
    <d v="2021-06-04T00:00:00"/>
    <n v="939"/>
    <n v="7"/>
    <x v="7"/>
    <n v="0.08"/>
    <n v="261.44639999999998"/>
    <n v="1"/>
    <x v="4"/>
  </r>
  <r>
    <n v="940"/>
    <x v="415"/>
    <n v="3"/>
    <s v="Barbacena"/>
    <x v="8"/>
    <n v="49"/>
    <n v="111"/>
    <n v="5439"/>
    <d v="1899-12-30T02:09:36"/>
    <n v="4949.49"/>
    <d v="2021-06-01T00:00:00"/>
    <d v="2021-06-01T00:00:00"/>
    <n v="940"/>
    <n v="5"/>
    <x v="0"/>
    <n v="0.08"/>
    <n v="395.95920000000001"/>
    <n v="2"/>
    <x v="4"/>
  </r>
  <r>
    <n v="941"/>
    <x v="415"/>
    <n v="22"/>
    <s v="Núcleo Bandeirante"/>
    <x v="6"/>
    <n v="33"/>
    <n v="91"/>
    <n v="3003"/>
    <d v="1899-12-30T01:40:48"/>
    <n v="2792.79"/>
    <d v="2021-06-19T00:00:00"/>
    <d v="2021-06-19T00:00:00"/>
    <n v="941"/>
    <n v="3"/>
    <x v="4"/>
    <n v="0.1"/>
    <n v="279.279"/>
    <n v="3"/>
    <x v="4"/>
  </r>
  <r>
    <n v="942"/>
    <x v="416"/>
    <n v="55"/>
    <s v="Manaus"/>
    <x v="6"/>
    <n v="11"/>
    <n v="111"/>
    <n v="1221"/>
    <d v="1899-12-30T02:24:00"/>
    <n v="1098.9000000000001"/>
    <d v="2021-06-09T00:00:00"/>
    <d v="2021-06-09T00:00:00"/>
    <n v="942"/>
    <n v="6"/>
    <x v="4"/>
    <n v="0.05"/>
    <n v="54.945000000000007"/>
    <n v="4"/>
    <x v="4"/>
  </r>
  <r>
    <n v="943"/>
    <x v="416"/>
    <n v="59"/>
    <s v="Garanhuns"/>
    <x v="9"/>
    <n v="45"/>
    <n v="117"/>
    <n v="5265"/>
    <d v="1899-12-30T00:28:48"/>
    <n v="5159.7"/>
    <d v="2021-05-27T00:00:00"/>
    <d v="2021-05-27T00:00:00"/>
    <n v="943"/>
    <n v="5"/>
    <x v="4"/>
    <n v="0.09"/>
    <n v="464.37299999999999"/>
    <n v="5"/>
    <x v="4"/>
  </r>
  <r>
    <n v="944"/>
    <x v="416"/>
    <n v="10"/>
    <s v="Campinas"/>
    <x v="6"/>
    <n v="35"/>
    <n v="117"/>
    <n v="4095"/>
    <d v="1899-12-30T02:09:36"/>
    <n v="3726.45"/>
    <d v="2021-06-06T00:00:00"/>
    <d v="2021-06-06T00:00:00"/>
    <n v="944"/>
    <n v="4"/>
    <x v="9"/>
    <n v="0.05"/>
    <n v="186.32249999999999"/>
    <n v="6"/>
    <x v="4"/>
  </r>
  <r>
    <n v="945"/>
    <x v="416"/>
    <n v="98"/>
    <s v="Recife"/>
    <x v="8"/>
    <n v="14"/>
    <n v="120"/>
    <n v="1680"/>
    <d v="1899-12-30T02:24:00"/>
    <n v="1512"/>
    <d v="2021-06-05T00:00:00"/>
    <d v="2021-06-05T00:00:00"/>
    <n v="945"/>
    <n v="7"/>
    <x v="8"/>
    <n v="0.09"/>
    <n v="136.07999999999998"/>
    <n v="7"/>
    <x v="4"/>
  </r>
  <r>
    <n v="946"/>
    <x v="416"/>
    <n v="60"/>
    <s v="Serra"/>
    <x v="5"/>
    <n v="26"/>
    <n v="112"/>
    <n v="2912"/>
    <d v="1899-12-30T00:00:00"/>
    <n v="2912"/>
    <d v="2021-06-02T00:00:00"/>
    <d v="2021-06-02T00:00:00"/>
    <n v="946"/>
    <n v="6"/>
    <x v="0"/>
    <n v="0.09"/>
    <n v="262.08"/>
    <n v="1"/>
    <x v="4"/>
  </r>
  <r>
    <n v="947"/>
    <x v="417"/>
    <n v="48"/>
    <s v="Guarulhos"/>
    <x v="8"/>
    <n v="20"/>
    <n v="116"/>
    <n v="2320"/>
    <d v="1899-12-30T00:57:36"/>
    <n v="2227.1999999999998"/>
    <d v="2021-06-12T00:00:00"/>
    <d v="2021-06-12T00:00:00"/>
    <n v="947"/>
    <n v="1"/>
    <x v="0"/>
    <n v="0.1"/>
    <n v="222.72"/>
    <n v="2"/>
    <x v="4"/>
  </r>
  <r>
    <n v="948"/>
    <x v="417"/>
    <n v="62"/>
    <s v="São Paulo"/>
    <x v="0"/>
    <n v="37"/>
    <n v="102"/>
    <n v="3774"/>
    <d v="1899-12-30T03:07:12"/>
    <n v="3283.38"/>
    <d v="2021-06-15T00:00:00"/>
    <d v="2021-06-15T00:00:00"/>
    <n v="948"/>
    <n v="3"/>
    <x v="4"/>
    <n v="0.06"/>
    <n v="197.00280000000001"/>
    <n v="3"/>
    <x v="4"/>
  </r>
  <r>
    <n v="949"/>
    <x v="418"/>
    <n v="84"/>
    <s v="Manaus"/>
    <x v="2"/>
    <n v="39"/>
    <n v="95"/>
    <n v="3705"/>
    <d v="1899-12-30T01:40:48"/>
    <n v="3445.65"/>
    <d v="2021-06-23T00:00:00"/>
    <d v="2021-06-23T00:00:00"/>
    <n v="949"/>
    <n v="2"/>
    <x v="5"/>
    <n v="0.1"/>
    <n v="344.56500000000005"/>
    <n v="4"/>
    <x v="4"/>
  </r>
  <r>
    <n v="950"/>
    <x v="418"/>
    <n v="13"/>
    <s v="Contagem"/>
    <x v="9"/>
    <n v="26"/>
    <n v="116"/>
    <n v="3016"/>
    <d v="1899-12-30T03:21:36"/>
    <n v="2593.7599999999998"/>
    <d v="2021-06-18T00:00:00"/>
    <d v="2021-06-18T00:00:00"/>
    <n v="950"/>
    <n v="1"/>
    <x v="3"/>
    <n v="0.09"/>
    <n v="233.43839999999997"/>
    <n v="5"/>
    <x v="4"/>
  </r>
  <r>
    <n v="951"/>
    <x v="419"/>
    <n v="42"/>
    <s v="Mauá"/>
    <x v="3"/>
    <n v="12"/>
    <n v="94"/>
    <n v="1128"/>
    <d v="1899-12-30T01:26:24"/>
    <n v="1060.32"/>
    <d v="2021-06-23T00:00:00"/>
    <d v="2021-06-23T00:00:00"/>
    <n v="951"/>
    <n v="7"/>
    <x v="3"/>
    <n v="0.06"/>
    <n v="63.619199999999992"/>
    <n v="6"/>
    <x v="4"/>
  </r>
  <r>
    <n v="952"/>
    <x v="419"/>
    <n v="60"/>
    <s v="Serra"/>
    <x v="9"/>
    <n v="42"/>
    <n v="99"/>
    <n v="4158"/>
    <d v="1899-12-30T00:14:24"/>
    <n v="4116.42"/>
    <d v="2021-06-22T00:00:00"/>
    <d v="2021-06-22T00:00:00"/>
    <n v="952"/>
    <n v="1"/>
    <x v="0"/>
    <n v="7.0000000000000007E-2"/>
    <n v="288.14940000000001"/>
    <n v="7"/>
    <x v="4"/>
  </r>
  <r>
    <n v="953"/>
    <x v="420"/>
    <n v="98"/>
    <s v="Recife"/>
    <x v="6"/>
    <n v="42"/>
    <n v="98"/>
    <n v="4116"/>
    <d v="1899-12-30T00:28:48"/>
    <n v="4033.68"/>
    <d v="2021-06-17T00:00:00"/>
    <d v="2021-06-17T00:00:00"/>
    <n v="953"/>
    <n v="4"/>
    <x v="4"/>
    <n v="0.1"/>
    <n v="403.36799999999999"/>
    <n v="1"/>
    <x v="4"/>
  </r>
  <r>
    <n v="954"/>
    <x v="420"/>
    <n v="74"/>
    <s v="São Paulo"/>
    <x v="7"/>
    <n v="25"/>
    <n v="96"/>
    <n v="2400"/>
    <d v="1899-12-30T03:36:00"/>
    <n v="2040"/>
    <d v="2021-06-19T00:00:00"/>
    <d v="2021-06-19T00:00:00"/>
    <n v="954"/>
    <n v="2"/>
    <x v="2"/>
    <n v="0.05"/>
    <n v="102"/>
    <n v="2"/>
    <x v="4"/>
  </r>
  <r>
    <n v="955"/>
    <x v="420"/>
    <n v="90"/>
    <s v="Cachoeiro de Itapemirim"/>
    <x v="5"/>
    <n v="50"/>
    <n v="109"/>
    <n v="5450"/>
    <d v="1899-12-30T00:57:36"/>
    <n v="5232"/>
    <d v="2021-06-26T00:00:00"/>
    <d v="2021-06-26T00:00:00"/>
    <n v="955"/>
    <n v="1"/>
    <x v="3"/>
    <n v="0.08"/>
    <n v="418.56"/>
    <n v="3"/>
    <x v="4"/>
  </r>
  <r>
    <n v="956"/>
    <x v="420"/>
    <n v="91"/>
    <s v="Itaquaquecetuba"/>
    <x v="1"/>
    <n v="43"/>
    <n v="111"/>
    <n v="4773"/>
    <d v="1899-12-30T03:21:36"/>
    <n v="4104.78"/>
    <d v="2021-06-11T00:00:00"/>
    <d v="2021-06-11T00:00:00"/>
    <n v="956"/>
    <n v="2"/>
    <x v="8"/>
    <n v="0.1"/>
    <n v="410.47800000000001"/>
    <n v="4"/>
    <x v="4"/>
  </r>
  <r>
    <n v="957"/>
    <x v="420"/>
    <n v="49"/>
    <s v="São Paulo"/>
    <x v="5"/>
    <n v="46"/>
    <n v="112"/>
    <n v="5152"/>
    <d v="1899-12-30T03:21:36"/>
    <n v="4430.72"/>
    <d v="2021-05-27T00:00:00"/>
    <d v="2021-05-27T00:00:00"/>
    <n v="957"/>
    <n v="1"/>
    <x v="6"/>
    <n v="0.06"/>
    <n v="265.84320000000002"/>
    <n v="5"/>
    <x v="4"/>
  </r>
  <r>
    <n v="958"/>
    <x v="420"/>
    <n v="87"/>
    <s v="Fortaleza"/>
    <x v="2"/>
    <n v="36"/>
    <n v="104"/>
    <n v="3744"/>
    <d v="1899-12-30T02:24:00"/>
    <n v="3369.6"/>
    <d v="2021-06-17T00:00:00"/>
    <d v="2021-06-17T00:00:00"/>
    <n v="958"/>
    <n v="4"/>
    <x v="5"/>
    <n v="0.08"/>
    <n v="269.56799999999998"/>
    <n v="6"/>
    <x v="4"/>
  </r>
  <r>
    <n v="959"/>
    <x v="421"/>
    <n v="23"/>
    <s v="Santa Bárbara D'Oeste"/>
    <x v="5"/>
    <n v="50"/>
    <n v="97"/>
    <n v="4850"/>
    <d v="1899-12-30T00:43:12"/>
    <n v="4704.5"/>
    <d v="2021-06-04T00:00:00"/>
    <d v="2021-06-04T00:00:00"/>
    <n v="959"/>
    <n v="6"/>
    <x v="6"/>
    <n v="0.05"/>
    <n v="235.22500000000002"/>
    <n v="7"/>
    <x v="4"/>
  </r>
  <r>
    <n v="960"/>
    <x v="422"/>
    <n v="8"/>
    <s v="São Paulo"/>
    <x v="0"/>
    <n v="23"/>
    <n v="111"/>
    <n v="2553"/>
    <d v="1899-12-30T02:24:00"/>
    <n v="2297.6999999999998"/>
    <d v="2021-06-25T00:00:00"/>
    <d v="2021-06-25T00:00:00"/>
    <n v="960"/>
    <n v="2"/>
    <x v="2"/>
    <n v="0.06"/>
    <n v="137.86199999999999"/>
    <n v="1"/>
    <x v="4"/>
  </r>
  <r>
    <n v="961"/>
    <x v="423"/>
    <n v="26"/>
    <s v="Araçatuba"/>
    <x v="9"/>
    <n v="32"/>
    <n v="100"/>
    <n v="3200"/>
    <d v="1899-12-30T00:00:00"/>
    <n v="3200"/>
    <d v="2021-06-17T00:00:00"/>
    <d v="2021-06-17T00:00:00"/>
    <n v="961"/>
    <n v="3"/>
    <x v="8"/>
    <n v="0.06"/>
    <n v="192"/>
    <n v="2"/>
    <x v="5"/>
  </r>
  <r>
    <n v="962"/>
    <x v="423"/>
    <n v="41"/>
    <s v="São João Del Rei"/>
    <x v="8"/>
    <n v="31"/>
    <n v="111"/>
    <n v="3441"/>
    <d v="1899-12-30T02:09:36"/>
    <n v="3131.31"/>
    <d v="2021-07-01T00:00:00"/>
    <d v="2021-07-01T00:00:00"/>
    <n v="962"/>
    <n v="2"/>
    <x v="6"/>
    <n v="0.05"/>
    <n v="156.56550000000001"/>
    <n v="3"/>
    <x v="5"/>
  </r>
  <r>
    <n v="963"/>
    <x v="424"/>
    <n v="43"/>
    <s v="Dourados"/>
    <x v="4"/>
    <n v="42"/>
    <n v="91"/>
    <n v="3822"/>
    <d v="1899-12-30T01:40:48"/>
    <n v="3554.46"/>
    <d v="2021-06-29T00:00:00"/>
    <d v="2021-06-29T00:00:00"/>
    <n v="963"/>
    <n v="1"/>
    <x v="6"/>
    <n v="0.1"/>
    <n v="355.44600000000003"/>
    <n v="4"/>
    <x v="5"/>
  </r>
  <r>
    <n v="964"/>
    <x v="424"/>
    <n v="25"/>
    <s v="Belém"/>
    <x v="4"/>
    <n v="20"/>
    <n v="94"/>
    <n v="1880"/>
    <d v="1899-12-30T01:55:12"/>
    <n v="1729.6"/>
    <d v="2021-06-21T00:00:00"/>
    <d v="2021-06-21T00:00:00"/>
    <n v="964"/>
    <n v="1"/>
    <x v="4"/>
    <n v="0.08"/>
    <n v="138.36799999999999"/>
    <n v="5"/>
    <x v="5"/>
  </r>
  <r>
    <n v="965"/>
    <x v="425"/>
    <n v="67"/>
    <s v="Barra do Piraí"/>
    <x v="3"/>
    <n v="21"/>
    <n v="114"/>
    <n v="2394"/>
    <d v="1899-12-30T02:09:36"/>
    <n v="2178.54"/>
    <d v="2021-06-15T00:00:00"/>
    <d v="2021-06-15T00:00:00"/>
    <n v="965"/>
    <n v="6"/>
    <x v="0"/>
    <n v="0.1"/>
    <n v="217.85400000000001"/>
    <n v="6"/>
    <x v="5"/>
  </r>
  <r>
    <n v="966"/>
    <x v="426"/>
    <n v="3"/>
    <s v="Barbacena"/>
    <x v="9"/>
    <n v="35"/>
    <n v="114"/>
    <n v="3990"/>
    <d v="1899-12-30T00:28:48"/>
    <n v="3910.2"/>
    <d v="2021-06-17T00:00:00"/>
    <d v="2021-06-17T00:00:00"/>
    <n v="966"/>
    <n v="6"/>
    <x v="0"/>
    <n v="0.05"/>
    <n v="195.51"/>
    <n v="7"/>
    <x v="5"/>
  </r>
  <r>
    <n v="967"/>
    <x v="426"/>
    <n v="57"/>
    <s v="Campinas"/>
    <x v="8"/>
    <n v="14"/>
    <n v="91"/>
    <n v="1274"/>
    <d v="1899-12-30T03:36:00"/>
    <n v="1082.9000000000001"/>
    <d v="2021-07-01T00:00:00"/>
    <d v="2021-07-01T00:00:00"/>
    <n v="967"/>
    <n v="1"/>
    <x v="2"/>
    <n v="0.08"/>
    <n v="86.632000000000005"/>
    <n v="1"/>
    <x v="5"/>
  </r>
  <r>
    <n v="968"/>
    <x v="426"/>
    <n v="19"/>
    <s v="São Paulo"/>
    <x v="2"/>
    <n v="40"/>
    <n v="105"/>
    <n v="4200"/>
    <d v="1899-12-30T01:40:48"/>
    <n v="3906"/>
    <d v="2021-06-23T00:00:00"/>
    <d v="2021-06-23T00:00:00"/>
    <n v="968"/>
    <n v="4"/>
    <x v="3"/>
    <n v="0.05"/>
    <n v="195.3"/>
    <n v="2"/>
    <x v="5"/>
  </r>
  <r>
    <n v="969"/>
    <x v="426"/>
    <n v="51"/>
    <s v="Avaré"/>
    <x v="7"/>
    <n v="50"/>
    <n v="102"/>
    <n v="5100"/>
    <d v="1899-12-30T03:21:36"/>
    <n v="4386"/>
    <d v="2021-06-18T00:00:00"/>
    <d v="2021-06-18T00:00:00"/>
    <n v="969"/>
    <n v="7"/>
    <x v="5"/>
    <n v="0.06"/>
    <n v="263.15999999999997"/>
    <n v="3"/>
    <x v="5"/>
  </r>
  <r>
    <n v="970"/>
    <x v="427"/>
    <n v="1"/>
    <s v="Santos"/>
    <x v="3"/>
    <n v="32"/>
    <n v="114"/>
    <n v="3648"/>
    <d v="1899-12-30T01:26:24"/>
    <n v="3429.12"/>
    <d v="2021-06-07T00:00:00"/>
    <d v="2021-06-07T00:00:00"/>
    <n v="970"/>
    <n v="4"/>
    <x v="7"/>
    <n v="0.05"/>
    <n v="171.45600000000002"/>
    <n v="4"/>
    <x v="5"/>
  </r>
  <r>
    <n v="971"/>
    <x v="428"/>
    <n v="19"/>
    <s v="São Paulo"/>
    <x v="3"/>
    <n v="48"/>
    <n v="107"/>
    <n v="5136"/>
    <d v="1899-12-30T00:57:36"/>
    <n v="4930.5600000000004"/>
    <d v="2021-06-30T00:00:00"/>
    <d v="2021-06-30T00:00:00"/>
    <n v="971"/>
    <n v="7"/>
    <x v="3"/>
    <n v="0.08"/>
    <n v="394.44480000000004"/>
    <n v="5"/>
    <x v="5"/>
  </r>
  <r>
    <n v="972"/>
    <x v="428"/>
    <n v="33"/>
    <s v="Ituiutaba"/>
    <x v="5"/>
    <n v="23"/>
    <n v="116"/>
    <n v="2668"/>
    <d v="1899-12-30T01:55:12"/>
    <n v="2454.56"/>
    <d v="2021-07-02T00:00:00"/>
    <d v="2021-07-02T00:00:00"/>
    <n v="972"/>
    <n v="6"/>
    <x v="1"/>
    <n v="0.08"/>
    <n v="196.3648"/>
    <n v="6"/>
    <x v="5"/>
  </r>
  <r>
    <n v="973"/>
    <x v="428"/>
    <n v="22"/>
    <s v="Núcleo Bandeirante"/>
    <x v="3"/>
    <n v="33"/>
    <n v="103"/>
    <n v="3399"/>
    <d v="1899-12-30T01:55:12"/>
    <n v="3127.08"/>
    <d v="2021-06-26T00:00:00"/>
    <d v="2021-06-26T00:00:00"/>
    <n v="973"/>
    <n v="7"/>
    <x v="4"/>
    <n v="0.1"/>
    <n v="312.70800000000003"/>
    <n v="7"/>
    <x v="5"/>
  </r>
  <r>
    <n v="974"/>
    <x v="428"/>
    <n v="84"/>
    <s v="Manaus"/>
    <x v="5"/>
    <n v="15"/>
    <n v="120"/>
    <n v="1800"/>
    <d v="1899-12-30T01:55:12"/>
    <n v="1656"/>
    <d v="2021-06-18T00:00:00"/>
    <d v="2021-06-18T00:00:00"/>
    <n v="974"/>
    <n v="3"/>
    <x v="0"/>
    <n v="0.08"/>
    <n v="132.47999999999999"/>
    <n v="1"/>
    <x v="5"/>
  </r>
  <r>
    <n v="975"/>
    <x v="428"/>
    <n v="89"/>
    <s v="Goiânia"/>
    <x v="2"/>
    <n v="34"/>
    <n v="101"/>
    <n v="3434"/>
    <d v="1899-12-30T02:38:24"/>
    <n v="3056.26"/>
    <d v="2021-06-25T00:00:00"/>
    <d v="2021-06-25T00:00:00"/>
    <n v="975"/>
    <n v="1"/>
    <x v="9"/>
    <n v="0.09"/>
    <n v="275.0634"/>
    <n v="2"/>
    <x v="5"/>
  </r>
  <r>
    <n v="976"/>
    <x v="428"/>
    <n v="43"/>
    <s v="Dourados"/>
    <x v="8"/>
    <n v="35"/>
    <n v="91"/>
    <n v="3185"/>
    <d v="1899-12-30T00:28:48"/>
    <n v="3121.3"/>
    <d v="2021-07-03T00:00:00"/>
    <d v="2021-07-03T00:00:00"/>
    <n v="976"/>
    <n v="3"/>
    <x v="3"/>
    <n v="7.0000000000000007E-2"/>
    <n v="218.49100000000004"/>
    <n v="3"/>
    <x v="5"/>
  </r>
  <r>
    <n v="977"/>
    <x v="429"/>
    <n v="26"/>
    <s v="Araçatuba"/>
    <x v="2"/>
    <n v="23"/>
    <n v="114"/>
    <n v="2622"/>
    <d v="1899-12-30T02:38:24"/>
    <n v="2333.58"/>
    <d v="2021-06-10T00:00:00"/>
    <d v="2021-06-10T00:00:00"/>
    <n v="977"/>
    <n v="2"/>
    <x v="9"/>
    <n v="0.06"/>
    <n v="140.01479999999998"/>
    <n v="4"/>
    <x v="5"/>
  </r>
  <r>
    <n v="978"/>
    <x v="429"/>
    <n v="71"/>
    <s v="Paranavaí"/>
    <x v="5"/>
    <n v="29"/>
    <n v="106"/>
    <n v="3074"/>
    <d v="1899-12-30T02:38:24"/>
    <n v="2735.86"/>
    <d v="2021-06-08T00:00:00"/>
    <d v="2021-06-08T00:00:00"/>
    <n v="978"/>
    <n v="5"/>
    <x v="1"/>
    <n v="7.0000000000000007E-2"/>
    <n v="191.51020000000003"/>
    <n v="5"/>
    <x v="5"/>
  </r>
  <r>
    <n v="979"/>
    <x v="429"/>
    <n v="76"/>
    <s v="Coronel Fabriciano"/>
    <x v="6"/>
    <n v="29"/>
    <n v="117"/>
    <n v="3393"/>
    <d v="1899-12-30T00:43:12"/>
    <n v="3291.21"/>
    <d v="2021-06-08T00:00:00"/>
    <d v="2021-06-08T00:00:00"/>
    <n v="979"/>
    <n v="4"/>
    <x v="5"/>
    <n v="0.05"/>
    <n v="164.56050000000002"/>
    <n v="6"/>
    <x v="5"/>
  </r>
  <r>
    <n v="980"/>
    <x v="430"/>
    <n v="58"/>
    <s v="Natal"/>
    <x v="5"/>
    <n v="20"/>
    <n v="96"/>
    <n v="1920"/>
    <d v="1899-12-30T01:55:12"/>
    <n v="1766.4"/>
    <d v="2021-06-28T00:00:00"/>
    <d v="2021-06-28T00:00:00"/>
    <n v="980"/>
    <n v="7"/>
    <x v="4"/>
    <n v="0.08"/>
    <n v="141.31200000000001"/>
    <n v="7"/>
    <x v="5"/>
  </r>
  <r>
    <n v="981"/>
    <x v="431"/>
    <n v="70"/>
    <s v="Rio de Janeiro"/>
    <x v="0"/>
    <n v="41"/>
    <n v="102"/>
    <n v="4182"/>
    <d v="1899-12-30T03:36:00"/>
    <n v="3554.7"/>
    <d v="2021-06-19T00:00:00"/>
    <d v="2021-06-19T00:00:00"/>
    <n v="981"/>
    <n v="6"/>
    <x v="7"/>
    <n v="0.05"/>
    <n v="177.73500000000001"/>
    <n v="1"/>
    <x v="5"/>
  </r>
  <r>
    <n v="982"/>
    <x v="431"/>
    <n v="34"/>
    <s v="Brusque"/>
    <x v="9"/>
    <n v="38"/>
    <n v="97"/>
    <n v="3686"/>
    <d v="1899-12-30T01:40:48"/>
    <n v="3427.98"/>
    <d v="2021-06-17T00:00:00"/>
    <d v="2021-06-17T00:00:00"/>
    <n v="982"/>
    <n v="1"/>
    <x v="5"/>
    <n v="7.0000000000000007E-2"/>
    <n v="239.95860000000002"/>
    <n v="2"/>
    <x v="5"/>
  </r>
  <r>
    <n v="983"/>
    <x v="431"/>
    <n v="72"/>
    <s v="São Paulo"/>
    <x v="8"/>
    <n v="25"/>
    <n v="91"/>
    <n v="2275"/>
    <d v="1899-12-30T01:40:48"/>
    <n v="2115.75"/>
    <d v="2021-06-26T00:00:00"/>
    <d v="2021-06-26T00:00:00"/>
    <n v="983"/>
    <n v="1"/>
    <x v="1"/>
    <n v="0.05"/>
    <n v="105.78750000000001"/>
    <n v="3"/>
    <x v="5"/>
  </r>
  <r>
    <n v="984"/>
    <x v="431"/>
    <n v="74"/>
    <s v="São Paulo"/>
    <x v="3"/>
    <n v="13"/>
    <n v="115"/>
    <n v="1495"/>
    <d v="1899-12-30T00:57:36"/>
    <n v="1435.2"/>
    <d v="2021-06-26T00:00:00"/>
    <d v="2021-06-26T00:00:00"/>
    <n v="984"/>
    <n v="4"/>
    <x v="8"/>
    <n v="0.05"/>
    <n v="71.760000000000005"/>
    <n v="4"/>
    <x v="5"/>
  </r>
  <r>
    <n v="985"/>
    <x v="431"/>
    <n v="44"/>
    <s v="Atibaia"/>
    <x v="7"/>
    <n v="26"/>
    <n v="114"/>
    <n v="2964"/>
    <d v="1899-12-30T02:09:36"/>
    <n v="2697.24"/>
    <d v="2021-06-19T00:00:00"/>
    <d v="2021-06-19T00:00:00"/>
    <n v="985"/>
    <n v="6"/>
    <x v="8"/>
    <n v="0.06"/>
    <n v="161.83439999999999"/>
    <n v="5"/>
    <x v="5"/>
  </r>
  <r>
    <n v="986"/>
    <x v="431"/>
    <n v="47"/>
    <s v="Fortaleza"/>
    <x v="1"/>
    <n v="32"/>
    <n v="98"/>
    <n v="3136"/>
    <d v="1899-12-30T01:55:12"/>
    <n v="2885.12"/>
    <d v="2021-07-02T00:00:00"/>
    <d v="2021-07-02T00:00:00"/>
    <n v="986"/>
    <n v="3"/>
    <x v="2"/>
    <n v="7.0000000000000007E-2"/>
    <n v="201.95840000000001"/>
    <n v="6"/>
    <x v="5"/>
  </r>
  <r>
    <n v="987"/>
    <x v="432"/>
    <n v="43"/>
    <s v="Dourados"/>
    <x v="5"/>
    <n v="15"/>
    <n v="95"/>
    <n v="1425"/>
    <d v="1899-12-30T02:38:24"/>
    <n v="1268.25"/>
    <d v="2021-07-10T00:00:00"/>
    <d v="2021-07-10T00:00:00"/>
    <n v="987"/>
    <n v="2"/>
    <x v="1"/>
    <n v="0.09"/>
    <n v="114.1425"/>
    <n v="7"/>
    <x v="5"/>
  </r>
  <r>
    <n v="988"/>
    <x v="432"/>
    <n v="73"/>
    <s v="São Paulo"/>
    <x v="6"/>
    <n v="30"/>
    <n v="97"/>
    <n v="2910"/>
    <d v="1899-12-30T02:09:36"/>
    <n v="2648.1"/>
    <d v="2021-07-08T00:00:00"/>
    <d v="2021-07-08T00:00:00"/>
    <n v="988"/>
    <n v="3"/>
    <x v="0"/>
    <n v="0.1"/>
    <n v="264.81"/>
    <n v="1"/>
    <x v="5"/>
  </r>
  <r>
    <n v="989"/>
    <x v="433"/>
    <n v="93"/>
    <s v="Salvador"/>
    <x v="1"/>
    <n v="12"/>
    <n v="96"/>
    <n v="1152"/>
    <d v="1899-12-30T00:43:12"/>
    <n v="1117.44"/>
    <d v="2021-06-29T00:00:00"/>
    <d v="2021-06-29T00:00:00"/>
    <n v="989"/>
    <n v="2"/>
    <x v="5"/>
    <n v="0.06"/>
    <n v="67.046400000000006"/>
    <n v="2"/>
    <x v="5"/>
  </r>
  <r>
    <n v="990"/>
    <x v="433"/>
    <n v="6"/>
    <s v="Jaú"/>
    <x v="5"/>
    <n v="36"/>
    <n v="92"/>
    <n v="3312"/>
    <d v="1899-12-30T03:36:00"/>
    <n v="2815.2"/>
    <d v="2021-07-13T00:00:00"/>
    <d v="2021-07-13T00:00:00"/>
    <n v="990"/>
    <n v="7"/>
    <x v="5"/>
    <n v="0.09"/>
    <n v="253.36799999999997"/>
    <n v="3"/>
    <x v="5"/>
  </r>
  <r>
    <n v="991"/>
    <x v="434"/>
    <n v="11"/>
    <s v="Cachoeiro de Itapemirim"/>
    <x v="3"/>
    <n v="50"/>
    <n v="118"/>
    <n v="5900"/>
    <d v="1899-12-30T03:07:12"/>
    <n v="5133"/>
    <d v="2021-06-19T00:00:00"/>
    <d v="2021-06-19T00:00:00"/>
    <n v="991"/>
    <n v="1"/>
    <x v="5"/>
    <n v="0.09"/>
    <n v="461.96999999999997"/>
    <n v="4"/>
    <x v="5"/>
  </r>
  <r>
    <n v="992"/>
    <x v="435"/>
    <n v="42"/>
    <s v="Mauá"/>
    <x v="1"/>
    <n v="12"/>
    <n v="111"/>
    <n v="1332"/>
    <d v="1899-12-30T02:38:24"/>
    <n v="1185.48"/>
    <d v="2021-06-19T00:00:00"/>
    <d v="2021-06-19T00:00:00"/>
    <n v="992"/>
    <n v="7"/>
    <x v="4"/>
    <n v="0.09"/>
    <n v="106.6932"/>
    <n v="5"/>
    <x v="5"/>
  </r>
  <r>
    <n v="993"/>
    <x v="436"/>
    <n v="60"/>
    <s v="Serra"/>
    <x v="6"/>
    <n v="24"/>
    <n v="107"/>
    <n v="2568"/>
    <d v="1899-12-30T01:12:00"/>
    <n v="2439.6"/>
    <d v="2021-06-18T00:00:00"/>
    <d v="2021-06-18T00:00:00"/>
    <n v="993"/>
    <n v="7"/>
    <x v="9"/>
    <n v="0.06"/>
    <n v="146.37599999999998"/>
    <n v="6"/>
    <x v="5"/>
  </r>
  <r>
    <n v="994"/>
    <x v="436"/>
    <n v="79"/>
    <s v="Salvador"/>
    <x v="1"/>
    <n v="13"/>
    <n v="117"/>
    <n v="1521"/>
    <d v="1899-12-30T01:40:48"/>
    <n v="1414.53"/>
    <d v="2021-07-05T00:00:00"/>
    <d v="2021-07-05T00:00:00"/>
    <n v="994"/>
    <n v="5"/>
    <x v="7"/>
    <n v="0.08"/>
    <n v="113.16240000000001"/>
    <n v="7"/>
    <x v="5"/>
  </r>
  <r>
    <n v="995"/>
    <x v="436"/>
    <n v="21"/>
    <s v="Vitória"/>
    <x v="3"/>
    <n v="14"/>
    <n v="119"/>
    <n v="1666"/>
    <d v="1899-12-30T03:07:12"/>
    <n v="1449.42"/>
    <d v="2021-06-27T00:00:00"/>
    <d v="2021-06-27T00:00:00"/>
    <n v="995"/>
    <n v="5"/>
    <x v="5"/>
    <n v="0.06"/>
    <n v="86.965199999999996"/>
    <n v="1"/>
    <x v="5"/>
  </r>
  <r>
    <n v="996"/>
    <x v="436"/>
    <n v="77"/>
    <s v="Sorocaba"/>
    <x v="6"/>
    <n v="16"/>
    <n v="113"/>
    <n v="1808"/>
    <d v="1899-12-30T00:43:12"/>
    <n v="1753.76"/>
    <d v="2021-06-17T00:00:00"/>
    <d v="2021-06-17T00:00:00"/>
    <n v="996"/>
    <n v="5"/>
    <x v="1"/>
    <n v="0.09"/>
    <n v="157.83840000000001"/>
    <n v="2"/>
    <x v="5"/>
  </r>
  <r>
    <n v="997"/>
    <x v="437"/>
    <n v="28"/>
    <s v="João Pessoa"/>
    <x v="1"/>
    <n v="33"/>
    <n v="97"/>
    <n v="3201"/>
    <d v="1899-12-30T02:38:24"/>
    <n v="2848.89"/>
    <d v="2021-06-26T00:00:00"/>
    <d v="2021-06-26T00:00:00"/>
    <n v="997"/>
    <n v="3"/>
    <x v="7"/>
    <n v="7.0000000000000007E-2"/>
    <n v="199.42230000000001"/>
    <n v="3"/>
    <x v="5"/>
  </r>
  <r>
    <n v="998"/>
    <x v="437"/>
    <n v="97"/>
    <s v="Franca"/>
    <x v="7"/>
    <n v="13"/>
    <n v="99"/>
    <n v="1287"/>
    <d v="1899-12-30T01:26:24"/>
    <n v="1209.78"/>
    <d v="2021-07-05T00:00:00"/>
    <d v="2021-07-05T00:00:00"/>
    <n v="998"/>
    <n v="3"/>
    <x v="2"/>
    <n v="7.0000000000000007E-2"/>
    <n v="84.684600000000003"/>
    <n v="4"/>
    <x v="5"/>
  </r>
  <r>
    <n v="999"/>
    <x v="437"/>
    <n v="8"/>
    <s v="São Paulo"/>
    <x v="5"/>
    <n v="21"/>
    <n v="93"/>
    <n v="1953"/>
    <d v="1899-12-30T00:43:12"/>
    <n v="1894.41"/>
    <d v="2021-07-15T00:00:00"/>
    <d v="2021-07-15T00:00:00"/>
    <n v="999"/>
    <n v="5"/>
    <x v="9"/>
    <n v="7.0000000000000007E-2"/>
    <n v="132.60870000000003"/>
    <n v="5"/>
    <x v="5"/>
  </r>
  <r>
    <n v="1000"/>
    <x v="438"/>
    <n v="1"/>
    <s v="Santos"/>
    <x v="1"/>
    <n v="41"/>
    <n v="92"/>
    <n v="3772"/>
    <d v="1899-12-30T02:24:00"/>
    <n v="3394.8"/>
    <d v="2021-07-16T00:00:00"/>
    <d v="2021-07-16T00:00:00"/>
    <n v="1000"/>
    <n v="7"/>
    <x v="4"/>
    <n v="0.08"/>
    <n v="271.584"/>
    <n v="6"/>
    <x v="5"/>
  </r>
  <r>
    <n v="1001"/>
    <x v="439"/>
    <n v="98"/>
    <s v="Recife"/>
    <x v="2"/>
    <n v="47"/>
    <n v="108"/>
    <n v="5076"/>
    <d v="1899-12-30T00:00:00"/>
    <n v="5076"/>
    <d v="2021-07-20T00:00:00"/>
    <d v="2021-07-20T00:00:00"/>
    <n v="1001"/>
    <n v="2"/>
    <x v="3"/>
    <n v="0.05"/>
    <n v="253.8"/>
    <n v="7"/>
    <x v="5"/>
  </r>
  <r>
    <n v="1002"/>
    <x v="440"/>
    <n v="28"/>
    <s v="João Pessoa"/>
    <x v="5"/>
    <n v="27"/>
    <n v="105"/>
    <n v="2835"/>
    <d v="1899-12-30T00:14:24"/>
    <n v="2806.65"/>
    <d v="2021-07-08T00:00:00"/>
    <d v="2021-07-08T00:00:00"/>
    <n v="1002"/>
    <n v="7"/>
    <x v="0"/>
    <n v="0.06"/>
    <n v="168.399"/>
    <n v="1"/>
    <x v="5"/>
  </r>
  <r>
    <n v="1003"/>
    <x v="440"/>
    <n v="11"/>
    <s v="Cachoeiro de Itapemirim"/>
    <x v="5"/>
    <n v="41"/>
    <n v="107"/>
    <n v="4387"/>
    <d v="1899-12-30T00:00:00"/>
    <n v="4387"/>
    <d v="2021-07-06T00:00:00"/>
    <d v="2021-07-06T00:00:00"/>
    <n v="1003"/>
    <n v="4"/>
    <x v="0"/>
    <n v="0.09"/>
    <n v="394.83"/>
    <n v="2"/>
    <x v="5"/>
  </r>
  <r>
    <n v="1004"/>
    <x v="441"/>
    <n v="62"/>
    <s v="São Paulo"/>
    <x v="0"/>
    <n v="20"/>
    <n v="113"/>
    <n v="2260"/>
    <d v="1899-12-30T01:12:00"/>
    <n v="2147"/>
    <d v="2021-07-17T00:00:00"/>
    <d v="2021-07-17T00:00:00"/>
    <n v="1004"/>
    <n v="2"/>
    <x v="2"/>
    <n v="0.06"/>
    <n v="128.82"/>
    <n v="3"/>
    <x v="5"/>
  </r>
  <r>
    <n v="1005"/>
    <x v="442"/>
    <n v="48"/>
    <s v="Guarulhos"/>
    <x v="1"/>
    <n v="39"/>
    <n v="105"/>
    <n v="4095"/>
    <d v="1899-12-30T00:43:12"/>
    <n v="3972.15"/>
    <d v="2021-06-24T00:00:00"/>
    <d v="2021-06-24T00:00:00"/>
    <n v="1005"/>
    <n v="6"/>
    <x v="3"/>
    <n v="0.1"/>
    <n v="397.21500000000003"/>
    <n v="4"/>
    <x v="5"/>
  </r>
  <r>
    <n v="1006"/>
    <x v="442"/>
    <n v="62"/>
    <s v="São Paulo"/>
    <x v="8"/>
    <n v="13"/>
    <n v="103"/>
    <n v="1339"/>
    <d v="1899-12-30T03:21:36"/>
    <n v="1151.54"/>
    <d v="2021-07-20T00:00:00"/>
    <d v="2021-07-20T00:00:00"/>
    <n v="1006"/>
    <n v="6"/>
    <x v="4"/>
    <n v="0.08"/>
    <n v="92.123199999999997"/>
    <n v="5"/>
    <x v="5"/>
  </r>
  <r>
    <n v="1007"/>
    <x v="443"/>
    <n v="70"/>
    <s v="Rio de Janeiro"/>
    <x v="3"/>
    <n v="38"/>
    <n v="117"/>
    <n v="4446"/>
    <d v="1899-12-30T00:28:48"/>
    <n v="4357.08"/>
    <d v="2021-07-13T00:00:00"/>
    <d v="2021-07-13T00:00:00"/>
    <n v="1007"/>
    <n v="4"/>
    <x v="5"/>
    <n v="0.05"/>
    <n v="217.85400000000001"/>
    <n v="6"/>
    <x v="5"/>
  </r>
  <r>
    <n v="1008"/>
    <x v="444"/>
    <n v="81"/>
    <s v="Duque de Caxias"/>
    <x v="7"/>
    <n v="20"/>
    <n v="111"/>
    <n v="2220"/>
    <d v="1899-12-30T01:12:00"/>
    <n v="2109"/>
    <d v="2021-07-06T00:00:00"/>
    <d v="2021-07-06T00:00:00"/>
    <n v="1008"/>
    <n v="5"/>
    <x v="9"/>
    <n v="0.05"/>
    <n v="105.45"/>
    <n v="7"/>
    <x v="5"/>
  </r>
  <r>
    <n v="1009"/>
    <x v="445"/>
    <n v="42"/>
    <s v="Mauá"/>
    <x v="0"/>
    <n v="48"/>
    <n v="98"/>
    <n v="4704"/>
    <d v="1899-12-30T01:40:48"/>
    <n v="4374.72"/>
    <d v="2021-07-07T00:00:00"/>
    <d v="2021-07-07T00:00:00"/>
    <n v="1009"/>
    <n v="4"/>
    <x v="5"/>
    <n v="0.1"/>
    <n v="437.47200000000004"/>
    <n v="1"/>
    <x v="5"/>
  </r>
  <r>
    <n v="1010"/>
    <x v="445"/>
    <n v="17"/>
    <s v="Rio de Janeiro"/>
    <x v="4"/>
    <n v="35"/>
    <n v="114"/>
    <n v="3990"/>
    <d v="1899-12-30T00:43:12"/>
    <n v="3870.3"/>
    <d v="2021-07-05T00:00:00"/>
    <d v="2021-07-05T00:00:00"/>
    <n v="1010"/>
    <n v="1"/>
    <x v="5"/>
    <n v="0.06"/>
    <n v="232.21799999999999"/>
    <n v="2"/>
    <x v="5"/>
  </r>
  <r>
    <n v="1011"/>
    <x v="445"/>
    <n v="60"/>
    <s v="Serra"/>
    <x v="5"/>
    <n v="45"/>
    <n v="116"/>
    <n v="5220"/>
    <d v="1899-12-30T01:40:48"/>
    <n v="4854.6000000000004"/>
    <d v="2021-07-23T00:00:00"/>
    <d v="2021-07-23T00:00:00"/>
    <n v="1011"/>
    <n v="6"/>
    <x v="9"/>
    <n v="0.08"/>
    <n v="388.36800000000005"/>
    <n v="3"/>
    <x v="5"/>
  </r>
  <r>
    <n v="1012"/>
    <x v="446"/>
    <n v="35"/>
    <s v="São Paulo"/>
    <x v="6"/>
    <n v="30"/>
    <n v="114"/>
    <n v="3420"/>
    <d v="1899-12-30T03:36:00"/>
    <n v="2907"/>
    <d v="2021-07-23T00:00:00"/>
    <d v="2021-07-23T00:00:00"/>
    <n v="1012"/>
    <n v="4"/>
    <x v="2"/>
    <n v="0.05"/>
    <n v="145.35"/>
    <n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D9:D10" firstHeaderRow="1" firstDataRow="1" firstDataCol="0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numFmtId="14" showAll="0"/>
    <pivotField numFmtId="44" showAll="0"/>
    <pivotField numFmtId="14" showAll="0"/>
    <pivotField showAll="0"/>
    <pivotField showAll="0"/>
    <pivotField showAll="0"/>
    <pivotField showAll="0">
      <items count="11">
        <item h="1" x="6"/>
        <item h="1" x="9"/>
        <item h="1" x="4"/>
        <item h="1" x="8"/>
        <item x="5"/>
        <item h="1" x="2"/>
        <item h="1" x="3"/>
        <item h="1" x="7"/>
        <item h="1" x="0"/>
        <item h="1" x="1"/>
        <item t="default"/>
      </items>
    </pivotField>
    <pivotField numFmtId="9" showAll="0"/>
    <pivotField dataField="1" numFmtId="44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Items count="1">
    <i/>
  </rowItems>
  <colItems count="1">
    <i/>
  </colItems>
  <dataFields count="1">
    <dataField name="Soma de Comissão" fld="16" baseField="1" baseItem="377668576" numFmtId="44"/>
  </dataFields>
  <formats count="6"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type="all" dataOnly="0" outline="0" fieldPosition="0"/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D6:D7" firstHeaderRow="1" firstDataRow="1" firstDataCol="0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dataField="1" numFmtId="14" showAll="0"/>
    <pivotField numFmtId="44" showAll="0"/>
    <pivotField numFmtId="14" showAll="0"/>
    <pivotField showAll="0"/>
    <pivotField showAll="0"/>
    <pivotField showAll="0"/>
    <pivotField showAll="0">
      <items count="11">
        <item h="1" x="6"/>
        <item h="1" x="9"/>
        <item h="1" x="4"/>
        <item h="1" x="8"/>
        <item x="5"/>
        <item h="1" x="2"/>
        <item h="1" x="3"/>
        <item h="1" x="7"/>
        <item h="1" x="0"/>
        <item h="1" x="1"/>
        <item t="default"/>
      </items>
    </pivotField>
    <pivotField numFmtId="9" showAll="0"/>
    <pivotField numFmtId="44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Items count="1">
    <i/>
  </rowItems>
  <colItems count="1">
    <i/>
  </colItems>
  <dataFields count="1">
    <dataField name="Média de % Desconto" fld="8" subtotal="average" baseField="1" baseItem="377668576" numFmtId="10"/>
  </dataFields>
  <formats count="4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D3:D4" firstHeaderRow="1" firstDataRow="1" firstDataCol="0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numFmtId="14" showAll="0"/>
    <pivotField dataField="1" numFmtId="44" showAll="0"/>
    <pivotField numFmtId="14" showAll="0"/>
    <pivotField showAll="0"/>
    <pivotField showAll="0"/>
    <pivotField showAll="0"/>
    <pivotField showAll="0">
      <items count="11">
        <item h="1" x="6"/>
        <item h="1" x="9"/>
        <item h="1" x="4"/>
        <item h="1" x="8"/>
        <item x="5"/>
        <item h="1" x="2"/>
        <item h="1" x="3"/>
        <item h="1" x="7"/>
        <item h="1" x="0"/>
        <item h="1" x="1"/>
        <item t="default"/>
      </items>
    </pivotField>
    <pivotField numFmtId="9" showAll="0"/>
    <pivotField numFmtId="44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Items count="1">
    <i/>
  </rowItems>
  <colItems count="1">
    <i/>
  </colItems>
  <dataFields count="1">
    <dataField name="Soma de Valor Venda" fld="9" baseField="18" baseItem="0" numFmtId="44"/>
  </dataFields>
  <formats count="3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">
  <location ref="A18:B29" firstHeaderRow="1" firstDataRow="1" firstDataCol="1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numFmtId="14" showAll="0"/>
    <pivotField dataField="1" numFmtId="44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44" showAll="0"/>
    <pivotField showAll="0"/>
    <pivotField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Valor Venda" fld="9" baseField="0" baseItem="0" numFmtId="44"/>
  </dataFields>
  <formats count="1">
    <format dxfId="13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1:B34" firstHeaderRow="1" firstDataRow="1" firstDataCol="1"/>
  <pivotFields count="19">
    <pivotField showAll="0"/>
    <pivotField axis="axisRow"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numFmtId="14" showAll="0"/>
    <pivotField dataField="1" numFmtId="44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44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"/>
  </rowFields>
  <rowItems count="3">
    <i>
      <x v="1"/>
    </i>
    <i>
      <x v="2"/>
    </i>
    <i t="grand">
      <x/>
    </i>
  </rowItems>
  <colItems count="1">
    <i/>
  </colItems>
  <dataFields count="1">
    <dataField name="Soma de Valor Venda" fld="9" baseField="0" baseItem="0" numFmtId="44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D12:D13" firstHeaderRow="1" firstDataRow="1" firstDataCol="0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dataField="1" showAll="0"/>
    <pivotField numFmtId="44" showAll="0"/>
    <pivotField numFmtId="44" showAll="0"/>
    <pivotField numFmtId="14" showAll="0"/>
    <pivotField numFmtId="44" showAll="0"/>
    <pivotField numFmtId="14" showAll="0"/>
    <pivotField showAll="0"/>
    <pivotField showAll="0"/>
    <pivotField showAll="0"/>
    <pivotField showAll="0">
      <items count="11">
        <item h="1" x="6"/>
        <item h="1" x="9"/>
        <item h="1" x="4"/>
        <item h="1" x="8"/>
        <item x="5"/>
        <item h="1" x="2"/>
        <item h="1" x="3"/>
        <item h="1" x="7"/>
        <item h="1" x="0"/>
        <item h="1" x="1"/>
        <item t="default"/>
      </items>
    </pivotField>
    <pivotField numFmtId="9" showAll="0"/>
    <pivotField numFmtId="44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Items count="1">
    <i/>
  </rowItems>
  <colItems count="1">
    <i/>
  </colItems>
  <dataFields count="1">
    <dataField name="Soma de Qtde." fld="5" baseField="0" baseItem="0"/>
  </dataFields>
  <formats count="6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dataOnly="0" labelOnly="1" outline="0" axis="axisValues" fieldPosition="0"/>
    </format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0">
  <location ref="A3:B16" firstHeaderRow="1" firstDataRow="1" firstDataCol="1"/>
  <pivotFields count="19">
    <pivotField showAll="0"/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44" showAll="0"/>
    <pivotField numFmtId="44" showAll="0"/>
    <pivotField numFmtId="14" showAll="0"/>
    <pivotField dataField="1" numFmtId="44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44"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 Venda" fld="9" baseField="18" baseItem="0" numFmtId="44"/>
  </dataFields>
  <formats count="3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endedor" sourceName="Vendedor">
  <pivotTables>
    <pivotTable tabId="6" name="Tabela dinâmica4"/>
    <pivotTable tabId="6" name="Tabela dinâmica5"/>
    <pivotTable tabId="6" name="Tabela dinâmica7"/>
    <pivotTable tabId="6" name="Tabela dinâmica2"/>
  </pivotTables>
  <data>
    <tabular pivotCacheId="1">
      <items count="10">
        <i x="6"/>
        <i x="9"/>
        <i x="4"/>
        <i x="8"/>
        <i x="5" s="1"/>
        <i x="2"/>
        <i x="3"/>
        <i x="7"/>
        <i x="0"/>
        <i x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" sourceName="Data">
  <pivotTables>
    <pivotTable tabId="6" name="Tabela dinâmica1"/>
    <pivotTable tabId="6" name="Tabela dinâmica2"/>
    <pivotTable tabId="6" name="Tabela dinâmica3"/>
    <pivotTable tabId="6" name="Tabela dinâmica4"/>
    <pivotTable tabId="6" name="Tabela dinâmica5"/>
    <pivotTable tabId="6" name="Tabela dinâmica7"/>
  </pivotTables>
  <data>
    <tabular pivotCacheId="1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6" name="Tabela dinâmica4"/>
    <pivotTable tabId="6" name="Tabela dinâmica5"/>
    <pivotTable tabId="6" name="Tabela dinâmica7"/>
    <pivotTable tabId="6" name="Tabela dinâmica8"/>
    <pivotTable tabId="6" name="Tabela dinâmica2"/>
  </pivotTables>
  <data>
    <tabular pivotCacheId="1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oduto" sourceName="Produto">
  <pivotTables>
    <pivotTable tabId="6" name="Tabela dinâmica4"/>
    <pivotTable tabId="6" name="Tabela dinâmica5"/>
    <pivotTable tabId="6" name="Tabela dinâmica7"/>
    <pivotTable tabId="6" name="Tabela dinâmica8"/>
    <pivotTable tabId="6" name="Tabela dinâmica2"/>
  </pivotTables>
  <data>
    <tabular pivotCacheId="1">
      <items count="10">
        <i x="5" s="1"/>
        <i x="7" s="1"/>
        <i x="3" s="1"/>
        <i x="2" s="1"/>
        <i x="8" s="1"/>
        <i x="6" s="1"/>
        <i x="0" s="1"/>
        <i x="9" s="1"/>
        <i x="1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" cache="SegmentaçãodeDados_Vendedor" caption="Vendedor" style="SlicerStyleLight1 2 2" rowHeight="234950"/>
  <slicer name="Data" cache="SegmentaçãodeDados_Data" caption="Anos" style="SlicerStyleLight1 2 2" rowHeight="234950"/>
  <slicer name="Mês" cache="SegmentaçãodeDados_Mês" caption="Mês" columnCount="6" style="SlicerStyleLight1 2 2" rowHeight="234950"/>
  <slicer name="Produto" cache="SegmentaçãodeDados_Produto" caption="Produto" style="SlicerStyleLight1 2 2" rowHeight="234950"/>
</slicers>
</file>

<file path=xl/tables/table1.xml><?xml version="1.0" encoding="utf-8"?>
<table xmlns="http://schemas.openxmlformats.org/spreadsheetml/2006/main" id="1" name="Tabela1" displayName="Tabela1" ref="A1:S1013" totalsRowShown="0">
  <autoFilter ref="A1:S1013">
    <filterColumn colId="14">
      <filters>
        <filter val="Ana Fernandes"/>
      </filters>
    </filterColumn>
  </autoFilter>
  <tableColumns count="19">
    <tableColumn id="1" name="Seq."/>
    <tableColumn id="2" name="Data" dataDxfId="32"/>
    <tableColumn id="3" name="Cód. Cliente"/>
    <tableColumn id="4" name="Cidade"/>
    <tableColumn id="5" name="Produto"/>
    <tableColumn id="6" name="Qtde."/>
    <tableColumn id="7" name="Preço Unitário" dataDxfId="31" dataCellStyle="Moeda"/>
    <tableColumn id="8" name="Valor Bruto" dataDxfId="30" dataCellStyle="Moeda"/>
    <tableColumn id="9" name="% Desconto" dataDxfId="29"/>
    <tableColumn id="10" name="Valor Venda" dataDxfId="28" dataCellStyle="Moeda"/>
    <tableColumn id="11" name="Vencimento" dataDxfId="27"/>
    <tableColumn id="12" name="Data Pagamento" dataDxfId="26"/>
    <tableColumn id="13" name="Documento"/>
    <tableColumn id="14" name="Canal de Venda"/>
    <tableColumn id="15" name="Vendedor"/>
    <tableColumn id="16" name="% Comis." dataDxfId="25" dataCellStyle="Porcentagem"/>
    <tableColumn id="17" name="Comissão" dataDxfId="24" dataCellStyle="Moeda"/>
    <tableColumn id="18" name="Tipo de Pagamento"/>
    <tableColumn id="19" name="Mês">
      <calculatedColumnFormula>PROPER(TEXT(B2,"mmmm"))</calculatedColumnFormula>
    </tableColumn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13"/>
  <sheetViews>
    <sheetView topLeftCell="A293" workbookViewId="0">
      <selection activeCell="B2" sqref="B2:B1013"/>
    </sheetView>
  </sheetViews>
  <sheetFormatPr defaultRowHeight="14.4" x14ac:dyDescent="0.3"/>
  <cols>
    <col min="2" max="2" width="10.6640625" style="1" bestFit="1" customWidth="1"/>
    <col min="3" max="3" width="12.77734375" customWidth="1"/>
    <col min="5" max="5" width="9.44140625" customWidth="1"/>
    <col min="7" max="7" width="15.5546875" style="2" customWidth="1"/>
    <col min="8" max="8" width="13.109375" style="2" customWidth="1"/>
    <col min="9" max="9" width="12.5546875" style="1" customWidth="1"/>
    <col min="10" max="10" width="13.6640625" style="2" customWidth="1"/>
    <col min="11" max="11" width="12.6640625" style="1" customWidth="1"/>
    <col min="12" max="12" width="16.44140625" style="1" customWidth="1"/>
    <col min="13" max="13" width="12.44140625" customWidth="1"/>
    <col min="14" max="14" width="15.44140625" customWidth="1"/>
    <col min="15" max="15" width="10.77734375" customWidth="1"/>
    <col min="16" max="16" width="10.33203125" style="3" customWidth="1"/>
    <col min="17" max="17" width="11.6640625" style="2" customWidth="1"/>
    <col min="18" max="18" width="18.5546875" customWidth="1"/>
  </cols>
  <sheetData>
    <row r="1" spans="1:19" x14ac:dyDescent="0.3">
      <c r="A1" t="s">
        <v>0</v>
      </c>
      <c r="B1" s="1" t="s">
        <v>1</v>
      </c>
      <c r="C1" t="s">
        <v>2</v>
      </c>
      <c r="D1" t="s">
        <v>3</v>
      </c>
      <c r="E1" t="s">
        <v>105</v>
      </c>
      <c r="F1" t="s">
        <v>4</v>
      </c>
      <c r="G1" s="2" t="s">
        <v>5</v>
      </c>
      <c r="H1" s="2" t="s">
        <v>6</v>
      </c>
      <c r="I1" s="1" t="s">
        <v>7</v>
      </c>
      <c r="J1" s="2" t="s">
        <v>8</v>
      </c>
      <c r="K1" s="1" t="s">
        <v>9</v>
      </c>
      <c r="L1" s="1" t="s">
        <v>10</v>
      </c>
      <c r="M1" t="s">
        <v>11</v>
      </c>
      <c r="N1" t="s">
        <v>12</v>
      </c>
      <c r="O1" t="s">
        <v>13</v>
      </c>
      <c r="P1" s="3" t="s">
        <v>14</v>
      </c>
      <c r="Q1" s="2" t="s">
        <v>15</v>
      </c>
      <c r="R1" t="s">
        <v>16</v>
      </c>
      <c r="S1" t="s">
        <v>94</v>
      </c>
    </row>
    <row r="2" spans="1:19" hidden="1" x14ac:dyDescent="0.3">
      <c r="A2">
        <v>1</v>
      </c>
      <c r="B2" s="1">
        <v>43831</v>
      </c>
      <c r="C2">
        <v>71</v>
      </c>
      <c r="D2" t="s">
        <v>17</v>
      </c>
      <c r="E2" t="s">
        <v>104</v>
      </c>
      <c r="F2">
        <v>37</v>
      </c>
      <c r="G2" s="2">
        <v>101</v>
      </c>
      <c r="H2" s="2">
        <v>3737</v>
      </c>
      <c r="I2" s="1">
        <v>0.02</v>
      </c>
      <c r="J2" s="2">
        <v>3662.26</v>
      </c>
      <c r="K2" s="1">
        <v>43842</v>
      </c>
      <c r="L2" s="1">
        <v>43842</v>
      </c>
      <c r="M2">
        <v>1</v>
      </c>
      <c r="N2">
        <v>6</v>
      </c>
      <c r="O2" t="s">
        <v>18</v>
      </c>
      <c r="P2" s="3">
        <v>0.08</v>
      </c>
      <c r="Q2" s="2">
        <v>292.98080000000004</v>
      </c>
      <c r="R2">
        <v>1</v>
      </c>
      <c r="S2" t="str">
        <f>PROPER(TEXT(B2,"mmmm"))</f>
        <v>Janeiro</v>
      </c>
    </row>
    <row r="3" spans="1:19" hidden="1" x14ac:dyDescent="0.3">
      <c r="A3">
        <v>2</v>
      </c>
      <c r="B3" s="1">
        <v>43831</v>
      </c>
      <c r="C3">
        <v>52</v>
      </c>
      <c r="D3" t="s">
        <v>19</v>
      </c>
      <c r="E3" t="s">
        <v>98</v>
      </c>
      <c r="F3">
        <v>47</v>
      </c>
      <c r="G3" s="2">
        <v>93</v>
      </c>
      <c r="H3" s="2">
        <v>4371</v>
      </c>
      <c r="I3" s="1">
        <v>0.04</v>
      </c>
      <c r="J3" s="2">
        <v>4196.16</v>
      </c>
      <c r="K3" s="1">
        <v>43833</v>
      </c>
      <c r="L3" s="1">
        <v>43833</v>
      </c>
      <c r="M3">
        <v>2</v>
      </c>
      <c r="N3">
        <v>2</v>
      </c>
      <c r="O3" t="s">
        <v>20</v>
      </c>
      <c r="P3" s="3">
        <v>0.1</v>
      </c>
      <c r="Q3" s="2">
        <v>419.61599999999999</v>
      </c>
      <c r="R3">
        <v>2</v>
      </c>
      <c r="S3" t="str">
        <f t="shared" ref="S3:S66" si="0">PROPER(TEXT(B3,"mmmm"))</f>
        <v>Janeiro</v>
      </c>
    </row>
    <row r="4" spans="1:19" hidden="1" x14ac:dyDescent="0.3">
      <c r="A4">
        <v>3</v>
      </c>
      <c r="B4" s="1">
        <v>43831</v>
      </c>
      <c r="C4">
        <v>92</v>
      </c>
      <c r="D4" t="s">
        <v>21</v>
      </c>
      <c r="E4" t="s">
        <v>98</v>
      </c>
      <c r="F4">
        <v>34</v>
      </c>
      <c r="G4" s="2">
        <v>116</v>
      </c>
      <c r="H4" s="2">
        <v>3944</v>
      </c>
      <c r="I4" s="1">
        <v>0.01</v>
      </c>
      <c r="J4" s="2">
        <v>3904.56</v>
      </c>
      <c r="K4" s="1">
        <v>43854</v>
      </c>
      <c r="L4" s="1">
        <v>43854</v>
      </c>
      <c r="M4">
        <v>3</v>
      </c>
      <c r="N4">
        <v>4</v>
      </c>
      <c r="O4" t="s">
        <v>20</v>
      </c>
      <c r="P4" s="3">
        <v>0.1</v>
      </c>
      <c r="Q4" s="2">
        <v>390.45600000000002</v>
      </c>
      <c r="R4">
        <v>3</v>
      </c>
      <c r="S4" t="str">
        <f t="shared" si="0"/>
        <v>Janeiro</v>
      </c>
    </row>
    <row r="5" spans="1:19" hidden="1" x14ac:dyDescent="0.3">
      <c r="A5">
        <v>4</v>
      </c>
      <c r="B5" s="1">
        <v>43834</v>
      </c>
      <c r="C5">
        <v>16</v>
      </c>
      <c r="D5" t="s">
        <v>22</v>
      </c>
      <c r="E5" t="s">
        <v>96</v>
      </c>
      <c r="F5">
        <v>44</v>
      </c>
      <c r="G5" s="2">
        <v>113</v>
      </c>
      <c r="H5" s="2">
        <v>4972</v>
      </c>
      <c r="I5" s="1">
        <v>0.08</v>
      </c>
      <c r="J5" s="2">
        <v>4574.24</v>
      </c>
      <c r="K5" s="1">
        <v>43834</v>
      </c>
      <c r="L5" s="1">
        <v>43834</v>
      </c>
      <c r="M5">
        <v>4</v>
      </c>
      <c r="N5">
        <v>3</v>
      </c>
      <c r="O5" t="s">
        <v>23</v>
      </c>
      <c r="P5" s="3">
        <v>7.0000000000000007E-2</v>
      </c>
      <c r="Q5" s="2">
        <v>320.1968</v>
      </c>
      <c r="R5">
        <v>4</v>
      </c>
      <c r="S5" t="str">
        <f t="shared" si="0"/>
        <v>Janeiro</v>
      </c>
    </row>
    <row r="6" spans="1:19" hidden="1" x14ac:dyDescent="0.3">
      <c r="A6">
        <v>5</v>
      </c>
      <c r="B6" s="1">
        <v>43835</v>
      </c>
      <c r="C6">
        <v>66</v>
      </c>
      <c r="D6" t="s">
        <v>24</v>
      </c>
      <c r="E6" t="s">
        <v>95</v>
      </c>
      <c r="F6">
        <v>24</v>
      </c>
      <c r="G6" s="2">
        <v>97</v>
      </c>
      <c r="H6" s="2">
        <v>2328</v>
      </c>
      <c r="I6" s="1">
        <v>0.02</v>
      </c>
      <c r="J6" s="2">
        <v>2281.44</v>
      </c>
      <c r="K6" s="1">
        <v>43842</v>
      </c>
      <c r="L6" s="1">
        <v>43842</v>
      </c>
      <c r="M6">
        <v>5</v>
      </c>
      <c r="N6">
        <v>6</v>
      </c>
      <c r="O6" t="s">
        <v>25</v>
      </c>
      <c r="P6" s="3">
        <v>7.0000000000000007E-2</v>
      </c>
      <c r="Q6" s="2">
        <v>159.70080000000002</v>
      </c>
      <c r="R6">
        <v>5</v>
      </c>
      <c r="S6" t="str">
        <f t="shared" si="0"/>
        <v>Janeiro</v>
      </c>
    </row>
    <row r="7" spans="1:19" hidden="1" x14ac:dyDescent="0.3">
      <c r="A7">
        <v>6</v>
      </c>
      <c r="B7" s="1">
        <v>43836</v>
      </c>
      <c r="C7">
        <v>93</v>
      </c>
      <c r="D7" t="s">
        <v>26</v>
      </c>
      <c r="E7" t="s">
        <v>98</v>
      </c>
      <c r="F7">
        <v>11</v>
      </c>
      <c r="G7" s="2">
        <v>96</v>
      </c>
      <c r="H7" s="2">
        <v>1056</v>
      </c>
      <c r="I7" s="1">
        <v>0</v>
      </c>
      <c r="J7" s="2">
        <v>1056</v>
      </c>
      <c r="K7" s="1">
        <v>43857</v>
      </c>
      <c r="L7" s="1">
        <v>43857</v>
      </c>
      <c r="M7">
        <v>6</v>
      </c>
      <c r="N7">
        <v>2</v>
      </c>
      <c r="O7" t="s">
        <v>27</v>
      </c>
      <c r="P7" s="3">
        <v>0.08</v>
      </c>
      <c r="Q7" s="2">
        <v>84.48</v>
      </c>
      <c r="R7">
        <v>6</v>
      </c>
      <c r="S7" t="str">
        <f t="shared" si="0"/>
        <v>Janeiro</v>
      </c>
    </row>
    <row r="8" spans="1:19" hidden="1" x14ac:dyDescent="0.3">
      <c r="A8">
        <v>7</v>
      </c>
      <c r="B8" s="1">
        <v>43836</v>
      </c>
      <c r="C8">
        <v>2</v>
      </c>
      <c r="D8" t="s">
        <v>28</v>
      </c>
      <c r="E8" t="s">
        <v>95</v>
      </c>
      <c r="F8">
        <v>20</v>
      </c>
      <c r="G8" s="2">
        <v>112</v>
      </c>
      <c r="H8" s="2">
        <v>2240</v>
      </c>
      <c r="I8" s="1">
        <v>0.13</v>
      </c>
      <c r="J8" s="2">
        <v>1948.8</v>
      </c>
      <c r="K8" s="1">
        <v>43865</v>
      </c>
      <c r="L8" s="1">
        <v>43865</v>
      </c>
      <c r="M8">
        <v>7</v>
      </c>
      <c r="N8">
        <v>4</v>
      </c>
      <c r="O8" t="s">
        <v>23</v>
      </c>
      <c r="P8" s="3">
        <v>0.08</v>
      </c>
      <c r="Q8" s="2">
        <v>155.904</v>
      </c>
      <c r="R8">
        <v>7</v>
      </c>
      <c r="S8" t="str">
        <f t="shared" si="0"/>
        <v>Janeiro</v>
      </c>
    </row>
    <row r="9" spans="1:19" hidden="1" x14ac:dyDescent="0.3">
      <c r="A9">
        <v>8</v>
      </c>
      <c r="B9" s="1">
        <v>43836</v>
      </c>
      <c r="C9">
        <v>9</v>
      </c>
      <c r="D9" t="s">
        <v>29</v>
      </c>
      <c r="E9" t="s">
        <v>95</v>
      </c>
      <c r="F9">
        <v>10</v>
      </c>
      <c r="G9" s="2">
        <v>92</v>
      </c>
      <c r="H9" s="2">
        <v>920</v>
      </c>
      <c r="I9" s="1">
        <v>0</v>
      </c>
      <c r="J9" s="2">
        <v>920</v>
      </c>
      <c r="K9" s="1">
        <v>43861</v>
      </c>
      <c r="L9" s="1">
        <v>43861</v>
      </c>
      <c r="M9">
        <v>8</v>
      </c>
      <c r="N9">
        <v>4</v>
      </c>
      <c r="O9" t="s">
        <v>30</v>
      </c>
      <c r="P9" s="3">
        <v>0.06</v>
      </c>
      <c r="Q9" s="2">
        <v>55.199999999999996</v>
      </c>
      <c r="R9">
        <v>1</v>
      </c>
      <c r="S9" t="str">
        <f t="shared" si="0"/>
        <v>Janeiro</v>
      </c>
    </row>
    <row r="10" spans="1:19" hidden="1" x14ac:dyDescent="0.3">
      <c r="A10">
        <v>9</v>
      </c>
      <c r="B10" s="1">
        <v>43836</v>
      </c>
      <c r="C10">
        <v>39</v>
      </c>
      <c r="D10" t="s">
        <v>31</v>
      </c>
      <c r="E10" t="s">
        <v>98</v>
      </c>
      <c r="F10">
        <v>22</v>
      </c>
      <c r="G10" s="2">
        <v>99</v>
      </c>
      <c r="H10" s="2">
        <v>2178</v>
      </c>
      <c r="I10" s="1">
        <v>0.02</v>
      </c>
      <c r="J10" s="2">
        <v>2134.44</v>
      </c>
      <c r="K10" s="1">
        <v>43855</v>
      </c>
      <c r="L10" s="1">
        <v>43855</v>
      </c>
      <c r="M10">
        <v>9</v>
      </c>
      <c r="N10">
        <v>7</v>
      </c>
      <c r="O10" t="s">
        <v>27</v>
      </c>
      <c r="P10" s="3">
        <v>0.09</v>
      </c>
      <c r="Q10" s="2">
        <v>192.09960000000001</v>
      </c>
      <c r="R10">
        <v>2</v>
      </c>
      <c r="S10" t="str">
        <f t="shared" si="0"/>
        <v>Janeiro</v>
      </c>
    </row>
    <row r="11" spans="1:19" hidden="1" x14ac:dyDescent="0.3">
      <c r="A11">
        <v>10</v>
      </c>
      <c r="B11" s="1">
        <v>43837</v>
      </c>
      <c r="C11">
        <v>20</v>
      </c>
      <c r="D11" t="s">
        <v>32</v>
      </c>
      <c r="E11" t="s">
        <v>95</v>
      </c>
      <c r="F11">
        <v>45</v>
      </c>
      <c r="G11" s="2">
        <v>107</v>
      </c>
      <c r="H11" s="2">
        <v>4815</v>
      </c>
      <c r="I11" s="1">
        <v>0.02</v>
      </c>
      <c r="J11" s="2">
        <v>4718.7</v>
      </c>
      <c r="K11" s="1">
        <v>43842</v>
      </c>
      <c r="L11" s="1">
        <v>43842</v>
      </c>
      <c r="M11">
        <v>10</v>
      </c>
      <c r="N11">
        <v>5</v>
      </c>
      <c r="O11" t="s">
        <v>20</v>
      </c>
      <c r="P11" s="3">
        <v>0.1</v>
      </c>
      <c r="Q11" s="2">
        <v>471.87</v>
      </c>
      <c r="R11">
        <v>3</v>
      </c>
      <c r="S11" t="str">
        <f t="shared" si="0"/>
        <v>Janeiro</v>
      </c>
    </row>
    <row r="12" spans="1:19" hidden="1" x14ac:dyDescent="0.3">
      <c r="A12">
        <v>11</v>
      </c>
      <c r="B12" s="1">
        <v>43837</v>
      </c>
      <c r="C12">
        <v>87</v>
      </c>
      <c r="D12" t="s">
        <v>33</v>
      </c>
      <c r="E12" t="s">
        <v>100</v>
      </c>
      <c r="F12">
        <v>14</v>
      </c>
      <c r="G12" s="2">
        <v>105</v>
      </c>
      <c r="H12" s="2">
        <v>1470</v>
      </c>
      <c r="I12" s="1">
        <v>0</v>
      </c>
      <c r="J12" s="2">
        <v>1470</v>
      </c>
      <c r="K12" s="1">
        <v>43843</v>
      </c>
      <c r="L12" s="1">
        <v>43843</v>
      </c>
      <c r="M12">
        <v>11</v>
      </c>
      <c r="N12">
        <v>6</v>
      </c>
      <c r="O12" t="s">
        <v>23</v>
      </c>
      <c r="P12" s="3">
        <v>0.1</v>
      </c>
      <c r="Q12" s="2">
        <v>147</v>
      </c>
      <c r="R12">
        <v>4</v>
      </c>
      <c r="S12" t="str">
        <f t="shared" si="0"/>
        <v>Janeiro</v>
      </c>
    </row>
    <row r="13" spans="1:19" x14ac:dyDescent="0.3">
      <c r="A13">
        <v>12</v>
      </c>
      <c r="B13" s="1">
        <v>43837</v>
      </c>
      <c r="C13">
        <v>96</v>
      </c>
      <c r="D13" t="s">
        <v>34</v>
      </c>
      <c r="E13" t="s">
        <v>95</v>
      </c>
      <c r="F13">
        <v>27</v>
      </c>
      <c r="G13" s="2">
        <v>105</v>
      </c>
      <c r="H13" s="2">
        <v>2835</v>
      </c>
      <c r="I13" s="1">
        <v>0.09</v>
      </c>
      <c r="J13" s="2">
        <v>2579.85</v>
      </c>
      <c r="K13" s="1">
        <v>43842</v>
      </c>
      <c r="L13" s="1">
        <v>43842</v>
      </c>
      <c r="M13">
        <v>12</v>
      </c>
      <c r="N13">
        <v>3</v>
      </c>
      <c r="O13" t="s">
        <v>35</v>
      </c>
      <c r="P13" s="3">
        <v>7.0000000000000007E-2</v>
      </c>
      <c r="Q13" s="2">
        <v>180.58950000000002</v>
      </c>
      <c r="R13">
        <v>5</v>
      </c>
      <c r="S13" t="str">
        <f t="shared" si="0"/>
        <v>Janeiro</v>
      </c>
    </row>
    <row r="14" spans="1:19" hidden="1" x14ac:dyDescent="0.3">
      <c r="A14">
        <v>13</v>
      </c>
      <c r="B14" s="1">
        <v>43839</v>
      </c>
      <c r="C14">
        <v>55</v>
      </c>
      <c r="D14" t="s">
        <v>36</v>
      </c>
      <c r="E14" t="s">
        <v>95</v>
      </c>
      <c r="F14">
        <v>18</v>
      </c>
      <c r="G14" s="2">
        <v>110</v>
      </c>
      <c r="H14" s="2">
        <v>1980</v>
      </c>
      <c r="I14" s="1">
        <v>0.14000000000000001</v>
      </c>
      <c r="J14" s="2">
        <v>1702.8</v>
      </c>
      <c r="K14" s="1">
        <v>43868</v>
      </c>
      <c r="L14" s="1">
        <v>43868</v>
      </c>
      <c r="M14">
        <v>13</v>
      </c>
      <c r="N14">
        <v>5</v>
      </c>
      <c r="O14" t="s">
        <v>18</v>
      </c>
      <c r="P14" s="3">
        <v>0.06</v>
      </c>
      <c r="Q14" s="2">
        <v>102.16799999999999</v>
      </c>
      <c r="R14">
        <v>6</v>
      </c>
      <c r="S14" t="str">
        <f t="shared" si="0"/>
        <v>Janeiro</v>
      </c>
    </row>
    <row r="15" spans="1:19" hidden="1" x14ac:dyDescent="0.3">
      <c r="A15">
        <v>14</v>
      </c>
      <c r="B15" s="1">
        <v>43839</v>
      </c>
      <c r="C15">
        <v>73</v>
      </c>
      <c r="D15" t="s">
        <v>31</v>
      </c>
      <c r="E15" t="s">
        <v>98</v>
      </c>
      <c r="F15">
        <v>31</v>
      </c>
      <c r="G15" s="2">
        <v>117</v>
      </c>
      <c r="H15" s="2">
        <v>3627</v>
      </c>
      <c r="I15" s="1">
        <v>0.02</v>
      </c>
      <c r="J15" s="2">
        <v>3554.46</v>
      </c>
      <c r="K15" s="1">
        <v>43839</v>
      </c>
      <c r="L15" s="1">
        <v>43839</v>
      </c>
      <c r="M15">
        <v>14</v>
      </c>
      <c r="N15">
        <v>4</v>
      </c>
      <c r="O15" t="s">
        <v>20</v>
      </c>
      <c r="P15" s="3">
        <v>0.06</v>
      </c>
      <c r="Q15" s="2">
        <v>213.26759999999999</v>
      </c>
      <c r="R15">
        <v>7</v>
      </c>
      <c r="S15" t="str">
        <f t="shared" si="0"/>
        <v>Janeiro</v>
      </c>
    </row>
    <row r="16" spans="1:19" hidden="1" x14ac:dyDescent="0.3">
      <c r="A16">
        <v>15</v>
      </c>
      <c r="B16" s="1">
        <v>43839</v>
      </c>
      <c r="C16">
        <v>74</v>
      </c>
      <c r="D16" t="s">
        <v>31</v>
      </c>
      <c r="E16" t="s">
        <v>96</v>
      </c>
      <c r="F16">
        <v>11</v>
      </c>
      <c r="G16" s="2">
        <v>114</v>
      </c>
      <c r="H16" s="2">
        <v>1254</v>
      </c>
      <c r="I16" s="1">
        <v>0.04</v>
      </c>
      <c r="J16" s="2">
        <v>1203.8399999999999</v>
      </c>
      <c r="K16" s="1">
        <v>43847</v>
      </c>
      <c r="L16" s="1">
        <v>43847</v>
      </c>
      <c r="M16">
        <v>15</v>
      </c>
      <c r="N16">
        <v>4</v>
      </c>
      <c r="O16" t="s">
        <v>25</v>
      </c>
      <c r="P16" s="3">
        <v>0.1</v>
      </c>
      <c r="Q16" s="2">
        <v>120.384</v>
      </c>
      <c r="R16">
        <v>1</v>
      </c>
      <c r="S16" t="str">
        <f t="shared" si="0"/>
        <v>Janeiro</v>
      </c>
    </row>
    <row r="17" spans="1:19" hidden="1" x14ac:dyDescent="0.3">
      <c r="A17">
        <v>16</v>
      </c>
      <c r="B17" s="1">
        <v>43841</v>
      </c>
      <c r="C17">
        <v>12</v>
      </c>
      <c r="D17" t="s">
        <v>37</v>
      </c>
      <c r="E17" t="s">
        <v>95</v>
      </c>
      <c r="F17">
        <v>25</v>
      </c>
      <c r="G17" s="2">
        <v>110</v>
      </c>
      <c r="H17" s="2">
        <v>2750</v>
      </c>
      <c r="I17" s="1">
        <v>0.01</v>
      </c>
      <c r="J17" s="2">
        <v>2722.5</v>
      </c>
      <c r="K17" s="1">
        <v>43843</v>
      </c>
      <c r="L17" s="1">
        <v>43843</v>
      </c>
      <c r="M17">
        <v>16</v>
      </c>
      <c r="N17">
        <v>6</v>
      </c>
      <c r="O17" t="s">
        <v>25</v>
      </c>
      <c r="P17" s="3">
        <v>0.1</v>
      </c>
      <c r="Q17" s="2">
        <v>272.25</v>
      </c>
      <c r="R17">
        <v>2</v>
      </c>
      <c r="S17" t="str">
        <f t="shared" si="0"/>
        <v>Janeiro</v>
      </c>
    </row>
    <row r="18" spans="1:19" hidden="1" x14ac:dyDescent="0.3">
      <c r="A18">
        <v>17</v>
      </c>
      <c r="B18" s="1">
        <v>43842</v>
      </c>
      <c r="C18">
        <v>92</v>
      </c>
      <c r="D18" t="s">
        <v>21</v>
      </c>
      <c r="E18" t="s">
        <v>97</v>
      </c>
      <c r="F18">
        <v>30</v>
      </c>
      <c r="G18" s="2">
        <v>108</v>
      </c>
      <c r="H18" s="2">
        <v>3240</v>
      </c>
      <c r="I18" s="1">
        <v>0.06</v>
      </c>
      <c r="J18" s="2">
        <v>3045.6</v>
      </c>
      <c r="K18" s="1">
        <v>43865</v>
      </c>
      <c r="L18" s="1">
        <v>43865</v>
      </c>
      <c r="M18">
        <v>17</v>
      </c>
      <c r="N18">
        <v>1</v>
      </c>
      <c r="O18" t="s">
        <v>38</v>
      </c>
      <c r="P18" s="3">
        <v>7.0000000000000007E-2</v>
      </c>
      <c r="Q18" s="2">
        <v>213.19200000000001</v>
      </c>
      <c r="R18">
        <v>3</v>
      </c>
      <c r="S18" t="str">
        <f t="shared" si="0"/>
        <v>Janeiro</v>
      </c>
    </row>
    <row r="19" spans="1:19" hidden="1" x14ac:dyDescent="0.3">
      <c r="A19">
        <v>18</v>
      </c>
      <c r="B19" s="1">
        <v>43845</v>
      </c>
      <c r="C19">
        <v>37</v>
      </c>
      <c r="D19" t="s">
        <v>39</v>
      </c>
      <c r="E19" t="s">
        <v>96</v>
      </c>
      <c r="F19">
        <v>21</v>
      </c>
      <c r="G19" s="2">
        <v>109</v>
      </c>
      <c r="H19" s="2">
        <v>2289</v>
      </c>
      <c r="I19" s="1">
        <v>0.1</v>
      </c>
      <c r="J19" s="2">
        <v>2060.1</v>
      </c>
      <c r="K19" s="1">
        <v>43873</v>
      </c>
      <c r="L19" s="1">
        <v>43873</v>
      </c>
      <c r="M19">
        <v>18</v>
      </c>
      <c r="N19">
        <v>4</v>
      </c>
      <c r="O19" t="s">
        <v>38</v>
      </c>
      <c r="P19" s="3">
        <v>7.0000000000000007E-2</v>
      </c>
      <c r="Q19" s="2">
        <v>144.20699999999999</v>
      </c>
      <c r="R19">
        <v>4</v>
      </c>
      <c r="S19" t="str">
        <f t="shared" si="0"/>
        <v>Janeiro</v>
      </c>
    </row>
    <row r="20" spans="1:19" x14ac:dyDescent="0.3">
      <c r="A20">
        <v>19</v>
      </c>
      <c r="B20" s="1">
        <v>43845</v>
      </c>
      <c r="C20">
        <v>100</v>
      </c>
      <c r="D20" t="s">
        <v>31</v>
      </c>
      <c r="E20" t="s">
        <v>95</v>
      </c>
      <c r="F20">
        <v>37</v>
      </c>
      <c r="G20" s="2">
        <v>99</v>
      </c>
      <c r="H20" s="2">
        <v>3663</v>
      </c>
      <c r="I20" s="1">
        <v>0.12</v>
      </c>
      <c r="J20" s="2">
        <v>3223.44</v>
      </c>
      <c r="K20" s="1">
        <v>43863</v>
      </c>
      <c r="L20" s="1">
        <v>43863</v>
      </c>
      <c r="M20">
        <v>19</v>
      </c>
      <c r="N20">
        <v>3</v>
      </c>
      <c r="O20" t="s">
        <v>35</v>
      </c>
      <c r="P20" s="3">
        <v>0.05</v>
      </c>
      <c r="Q20" s="2">
        <v>161.17200000000003</v>
      </c>
      <c r="R20">
        <v>5</v>
      </c>
      <c r="S20" t="str">
        <f t="shared" si="0"/>
        <v>Janeiro</v>
      </c>
    </row>
    <row r="21" spans="1:19" hidden="1" x14ac:dyDescent="0.3">
      <c r="A21">
        <v>20</v>
      </c>
      <c r="B21" s="1">
        <v>43845</v>
      </c>
      <c r="C21">
        <v>94</v>
      </c>
      <c r="D21" t="s">
        <v>40</v>
      </c>
      <c r="E21" t="s">
        <v>99</v>
      </c>
      <c r="F21">
        <v>39</v>
      </c>
      <c r="G21" s="2">
        <v>103</v>
      </c>
      <c r="H21" s="2">
        <v>4017</v>
      </c>
      <c r="I21" s="1">
        <v>0.15</v>
      </c>
      <c r="J21" s="2">
        <v>3414.45</v>
      </c>
      <c r="K21" s="1">
        <v>43860</v>
      </c>
      <c r="L21" s="1">
        <v>43860</v>
      </c>
      <c r="M21">
        <v>20</v>
      </c>
      <c r="N21">
        <v>6</v>
      </c>
      <c r="O21" t="s">
        <v>27</v>
      </c>
      <c r="P21" s="3">
        <v>0.08</v>
      </c>
      <c r="Q21" s="2">
        <v>273.15600000000001</v>
      </c>
      <c r="R21">
        <v>6</v>
      </c>
      <c r="S21" t="str">
        <f t="shared" si="0"/>
        <v>Janeiro</v>
      </c>
    </row>
    <row r="22" spans="1:19" hidden="1" x14ac:dyDescent="0.3">
      <c r="A22">
        <v>21</v>
      </c>
      <c r="B22" s="1">
        <v>43845</v>
      </c>
      <c r="C22">
        <v>22</v>
      </c>
      <c r="D22" t="s">
        <v>41</v>
      </c>
      <c r="E22" t="s">
        <v>99</v>
      </c>
      <c r="F22">
        <v>27</v>
      </c>
      <c r="G22" s="2">
        <v>115</v>
      </c>
      <c r="H22" s="2">
        <v>3105</v>
      </c>
      <c r="I22" s="1">
        <v>0.12</v>
      </c>
      <c r="J22" s="2">
        <v>2732.4</v>
      </c>
      <c r="K22" s="1">
        <v>43855</v>
      </c>
      <c r="L22" s="1">
        <v>43855</v>
      </c>
      <c r="M22">
        <v>21</v>
      </c>
      <c r="N22">
        <v>1</v>
      </c>
      <c r="O22" t="s">
        <v>23</v>
      </c>
      <c r="P22" s="3">
        <v>7.0000000000000007E-2</v>
      </c>
      <c r="Q22" s="2">
        <v>191.26800000000003</v>
      </c>
      <c r="R22">
        <v>7</v>
      </c>
      <c r="S22" t="str">
        <f t="shared" si="0"/>
        <v>Janeiro</v>
      </c>
    </row>
    <row r="23" spans="1:19" hidden="1" x14ac:dyDescent="0.3">
      <c r="A23">
        <v>22</v>
      </c>
      <c r="B23" s="1">
        <v>43846</v>
      </c>
      <c r="C23">
        <v>35</v>
      </c>
      <c r="D23" t="s">
        <v>31</v>
      </c>
      <c r="E23" t="s">
        <v>95</v>
      </c>
      <c r="F23">
        <v>49</v>
      </c>
      <c r="G23" s="2">
        <v>105</v>
      </c>
      <c r="H23" s="2">
        <v>5145</v>
      </c>
      <c r="I23" s="1">
        <v>0.03</v>
      </c>
      <c r="J23" s="2">
        <v>4990.6499999999996</v>
      </c>
      <c r="K23" s="1">
        <v>43852</v>
      </c>
      <c r="L23" s="1">
        <v>43852</v>
      </c>
      <c r="M23">
        <v>22</v>
      </c>
      <c r="N23">
        <v>2</v>
      </c>
      <c r="O23" t="s">
        <v>23</v>
      </c>
      <c r="P23" s="3">
        <v>0.09</v>
      </c>
      <c r="Q23" s="2">
        <v>449.15849999999995</v>
      </c>
      <c r="R23">
        <v>1</v>
      </c>
      <c r="S23" t="str">
        <f t="shared" si="0"/>
        <v>Janeiro</v>
      </c>
    </row>
    <row r="24" spans="1:19" hidden="1" x14ac:dyDescent="0.3">
      <c r="A24">
        <v>23</v>
      </c>
      <c r="B24" s="1">
        <v>43846</v>
      </c>
      <c r="C24">
        <v>88</v>
      </c>
      <c r="D24" t="s">
        <v>31</v>
      </c>
      <c r="E24" t="s">
        <v>99</v>
      </c>
      <c r="F24">
        <v>29</v>
      </c>
      <c r="G24" s="2">
        <v>91</v>
      </c>
      <c r="H24" s="2">
        <v>2639</v>
      </c>
      <c r="I24" s="1">
        <v>0.1</v>
      </c>
      <c r="J24" s="2">
        <v>2375.1</v>
      </c>
      <c r="K24" s="1">
        <v>43873</v>
      </c>
      <c r="L24" s="1">
        <v>43873</v>
      </c>
      <c r="M24">
        <v>23</v>
      </c>
      <c r="N24">
        <v>2</v>
      </c>
      <c r="O24" t="s">
        <v>42</v>
      </c>
      <c r="P24" s="3">
        <v>0.09</v>
      </c>
      <c r="Q24" s="2">
        <v>213.75899999999999</v>
      </c>
      <c r="R24">
        <v>2</v>
      </c>
      <c r="S24" t="str">
        <f t="shared" si="0"/>
        <v>Janeiro</v>
      </c>
    </row>
    <row r="25" spans="1:19" hidden="1" x14ac:dyDescent="0.3">
      <c r="A25">
        <v>24</v>
      </c>
      <c r="B25" s="1">
        <v>43846</v>
      </c>
      <c r="C25">
        <v>51</v>
      </c>
      <c r="D25" t="s">
        <v>43</v>
      </c>
      <c r="E25" t="s">
        <v>101</v>
      </c>
      <c r="F25">
        <v>23</v>
      </c>
      <c r="G25" s="2">
        <v>90</v>
      </c>
      <c r="H25" s="2">
        <v>2070</v>
      </c>
      <c r="I25" s="1">
        <v>7.0000000000000007E-2</v>
      </c>
      <c r="J25" s="2">
        <v>1925.1</v>
      </c>
      <c r="K25" s="1">
        <v>43865</v>
      </c>
      <c r="L25" s="1">
        <v>43865</v>
      </c>
      <c r="M25">
        <v>24</v>
      </c>
      <c r="N25">
        <v>5</v>
      </c>
      <c r="O25" t="s">
        <v>20</v>
      </c>
      <c r="P25" s="3">
        <v>7.0000000000000007E-2</v>
      </c>
      <c r="Q25" s="2">
        <v>134.75700000000001</v>
      </c>
      <c r="R25">
        <v>3</v>
      </c>
      <c r="S25" t="str">
        <f t="shared" si="0"/>
        <v>Janeiro</v>
      </c>
    </row>
    <row r="26" spans="1:19" hidden="1" x14ac:dyDescent="0.3">
      <c r="A26">
        <v>25</v>
      </c>
      <c r="B26" s="1">
        <v>43848</v>
      </c>
      <c r="C26">
        <v>51</v>
      </c>
      <c r="D26" t="s">
        <v>43</v>
      </c>
      <c r="E26" t="s">
        <v>102</v>
      </c>
      <c r="F26">
        <v>17</v>
      </c>
      <c r="G26" s="2">
        <v>116</v>
      </c>
      <c r="H26" s="2">
        <v>1972</v>
      </c>
      <c r="I26" s="1">
        <v>0.08</v>
      </c>
      <c r="J26" s="2">
        <v>1814.24</v>
      </c>
      <c r="K26" s="1">
        <v>43853</v>
      </c>
      <c r="L26" s="1">
        <v>43853</v>
      </c>
      <c r="M26">
        <v>25</v>
      </c>
      <c r="N26">
        <v>5</v>
      </c>
      <c r="O26" t="s">
        <v>27</v>
      </c>
      <c r="P26" s="3">
        <v>0.09</v>
      </c>
      <c r="Q26" s="2">
        <v>163.2816</v>
      </c>
      <c r="R26">
        <v>4</v>
      </c>
      <c r="S26" t="str">
        <f t="shared" si="0"/>
        <v>Janeiro</v>
      </c>
    </row>
    <row r="27" spans="1:19" hidden="1" x14ac:dyDescent="0.3">
      <c r="A27">
        <v>26</v>
      </c>
      <c r="B27" s="1">
        <v>43848</v>
      </c>
      <c r="C27">
        <v>61</v>
      </c>
      <c r="D27" t="s">
        <v>44</v>
      </c>
      <c r="E27" t="s">
        <v>102</v>
      </c>
      <c r="F27">
        <v>28</v>
      </c>
      <c r="G27" s="2">
        <v>109</v>
      </c>
      <c r="H27" s="2">
        <v>3052</v>
      </c>
      <c r="I27" s="1">
        <v>0.09</v>
      </c>
      <c r="J27" s="2">
        <v>2777.32</v>
      </c>
      <c r="K27" s="1">
        <v>43869</v>
      </c>
      <c r="L27" s="1">
        <v>43869</v>
      </c>
      <c r="M27">
        <v>26</v>
      </c>
      <c r="N27">
        <v>5</v>
      </c>
      <c r="O27" t="s">
        <v>38</v>
      </c>
      <c r="P27" s="3">
        <v>0.05</v>
      </c>
      <c r="Q27" s="2">
        <v>138.86600000000001</v>
      </c>
      <c r="R27">
        <v>5</v>
      </c>
      <c r="S27" t="str">
        <f t="shared" si="0"/>
        <v>Janeiro</v>
      </c>
    </row>
    <row r="28" spans="1:19" hidden="1" x14ac:dyDescent="0.3">
      <c r="A28">
        <v>27</v>
      </c>
      <c r="B28" s="1">
        <v>43848</v>
      </c>
      <c r="C28">
        <v>85</v>
      </c>
      <c r="D28" t="s">
        <v>45</v>
      </c>
      <c r="E28" t="s">
        <v>96</v>
      </c>
      <c r="F28">
        <v>11</v>
      </c>
      <c r="G28" s="2">
        <v>101</v>
      </c>
      <c r="H28" s="2">
        <v>1111</v>
      </c>
      <c r="I28" s="1">
        <v>0.11</v>
      </c>
      <c r="J28" s="2">
        <v>988.79</v>
      </c>
      <c r="K28" s="1">
        <v>43878</v>
      </c>
      <c r="L28" s="1">
        <v>43878</v>
      </c>
      <c r="M28">
        <v>27</v>
      </c>
      <c r="N28">
        <v>6</v>
      </c>
      <c r="O28" t="s">
        <v>20</v>
      </c>
      <c r="P28" s="3">
        <v>0.06</v>
      </c>
      <c r="Q28" s="2">
        <v>59.327399999999997</v>
      </c>
      <c r="R28">
        <v>6</v>
      </c>
      <c r="S28" t="str">
        <f t="shared" si="0"/>
        <v>Janeiro</v>
      </c>
    </row>
    <row r="29" spans="1:19" hidden="1" x14ac:dyDescent="0.3">
      <c r="A29">
        <v>28</v>
      </c>
      <c r="B29" s="1">
        <v>43849</v>
      </c>
      <c r="C29">
        <v>34</v>
      </c>
      <c r="D29" t="s">
        <v>46</v>
      </c>
      <c r="E29" t="s">
        <v>103</v>
      </c>
      <c r="F29">
        <v>27</v>
      </c>
      <c r="G29" s="2">
        <v>96</v>
      </c>
      <c r="H29" s="2">
        <v>2592</v>
      </c>
      <c r="I29" s="1">
        <v>0.13</v>
      </c>
      <c r="J29" s="2">
        <v>2255.04</v>
      </c>
      <c r="K29" s="1">
        <v>43868</v>
      </c>
      <c r="L29" s="1">
        <v>43868</v>
      </c>
      <c r="M29">
        <v>28</v>
      </c>
      <c r="N29">
        <v>6</v>
      </c>
      <c r="O29" t="s">
        <v>25</v>
      </c>
      <c r="P29" s="3">
        <v>0.06</v>
      </c>
      <c r="Q29" s="2">
        <v>135.30240000000001</v>
      </c>
      <c r="R29">
        <v>7</v>
      </c>
      <c r="S29" t="str">
        <f t="shared" si="0"/>
        <v>Janeiro</v>
      </c>
    </row>
    <row r="30" spans="1:19" x14ac:dyDescent="0.3">
      <c r="A30">
        <v>29</v>
      </c>
      <c r="B30" s="1">
        <v>43849</v>
      </c>
      <c r="C30">
        <v>90</v>
      </c>
      <c r="D30" t="s">
        <v>47</v>
      </c>
      <c r="E30" t="s">
        <v>96</v>
      </c>
      <c r="F30">
        <v>20</v>
      </c>
      <c r="G30" s="2">
        <v>95</v>
      </c>
      <c r="H30" s="2">
        <v>1900</v>
      </c>
      <c r="I30" s="1">
        <v>7.0000000000000007E-2</v>
      </c>
      <c r="J30" s="2">
        <v>1767</v>
      </c>
      <c r="K30" s="1">
        <v>43854</v>
      </c>
      <c r="L30" s="1">
        <v>43854</v>
      </c>
      <c r="M30">
        <v>29</v>
      </c>
      <c r="N30">
        <v>7</v>
      </c>
      <c r="O30" t="s">
        <v>35</v>
      </c>
      <c r="P30" s="3">
        <v>0.1</v>
      </c>
      <c r="Q30" s="2">
        <v>176.70000000000002</v>
      </c>
      <c r="R30">
        <v>1</v>
      </c>
      <c r="S30" t="str">
        <f t="shared" si="0"/>
        <v>Janeiro</v>
      </c>
    </row>
    <row r="31" spans="1:19" hidden="1" x14ac:dyDescent="0.3">
      <c r="A31">
        <v>30</v>
      </c>
      <c r="B31" s="1">
        <v>43850</v>
      </c>
      <c r="C31">
        <v>48</v>
      </c>
      <c r="D31" t="s">
        <v>48</v>
      </c>
      <c r="E31" t="s">
        <v>99</v>
      </c>
      <c r="F31">
        <v>19</v>
      </c>
      <c r="G31" s="2">
        <v>114</v>
      </c>
      <c r="H31" s="2">
        <v>2166</v>
      </c>
      <c r="I31" s="1">
        <v>0.05</v>
      </c>
      <c r="J31" s="2">
        <v>2057.6999999999998</v>
      </c>
      <c r="K31" s="1">
        <v>43879</v>
      </c>
      <c r="L31" s="1">
        <v>43879</v>
      </c>
      <c r="M31">
        <v>30</v>
      </c>
      <c r="N31">
        <v>5</v>
      </c>
      <c r="O31" t="s">
        <v>25</v>
      </c>
      <c r="P31" s="3">
        <v>0.1</v>
      </c>
      <c r="Q31" s="2">
        <v>205.76999999999998</v>
      </c>
      <c r="R31">
        <v>2</v>
      </c>
      <c r="S31" t="str">
        <f t="shared" si="0"/>
        <v>Janeiro</v>
      </c>
    </row>
    <row r="32" spans="1:19" hidden="1" x14ac:dyDescent="0.3">
      <c r="A32">
        <v>31</v>
      </c>
      <c r="B32" s="1">
        <v>43850</v>
      </c>
      <c r="C32">
        <v>91</v>
      </c>
      <c r="D32" t="s">
        <v>49</v>
      </c>
      <c r="E32" t="s">
        <v>101</v>
      </c>
      <c r="F32">
        <v>50</v>
      </c>
      <c r="G32" s="2">
        <v>96</v>
      </c>
      <c r="H32" s="2">
        <v>4800</v>
      </c>
      <c r="I32" s="1">
        <v>0.05</v>
      </c>
      <c r="J32" s="2">
        <v>4560</v>
      </c>
      <c r="K32" s="1">
        <v>43879</v>
      </c>
      <c r="L32" s="1">
        <v>43879</v>
      </c>
      <c r="M32">
        <v>31</v>
      </c>
      <c r="N32">
        <v>3</v>
      </c>
      <c r="O32" t="s">
        <v>18</v>
      </c>
      <c r="P32" s="3">
        <v>0.08</v>
      </c>
      <c r="Q32" s="2">
        <v>364.8</v>
      </c>
      <c r="R32">
        <v>3</v>
      </c>
      <c r="S32" t="str">
        <f t="shared" si="0"/>
        <v>Janeiro</v>
      </c>
    </row>
    <row r="33" spans="1:19" hidden="1" x14ac:dyDescent="0.3">
      <c r="A33">
        <v>32</v>
      </c>
      <c r="B33" s="1">
        <v>43850</v>
      </c>
      <c r="C33">
        <v>25</v>
      </c>
      <c r="D33" t="s">
        <v>50</v>
      </c>
      <c r="E33" t="s">
        <v>99</v>
      </c>
      <c r="F33">
        <v>20</v>
      </c>
      <c r="G33" s="2">
        <v>108</v>
      </c>
      <c r="H33" s="2">
        <v>2160</v>
      </c>
      <c r="I33" s="1">
        <v>0</v>
      </c>
      <c r="J33" s="2">
        <v>2160</v>
      </c>
      <c r="K33" s="1">
        <v>43862</v>
      </c>
      <c r="L33" s="1">
        <v>43862</v>
      </c>
      <c r="M33">
        <v>32</v>
      </c>
      <c r="N33">
        <v>6</v>
      </c>
      <c r="O33" t="s">
        <v>25</v>
      </c>
      <c r="P33" s="3">
        <v>7.0000000000000007E-2</v>
      </c>
      <c r="Q33" s="2">
        <v>151.20000000000002</v>
      </c>
      <c r="R33">
        <v>4</v>
      </c>
      <c r="S33" t="str">
        <f t="shared" si="0"/>
        <v>Janeiro</v>
      </c>
    </row>
    <row r="34" spans="1:19" hidden="1" x14ac:dyDescent="0.3">
      <c r="A34">
        <v>33</v>
      </c>
      <c r="B34" s="1">
        <v>43851</v>
      </c>
      <c r="C34">
        <v>65</v>
      </c>
      <c r="D34" t="s">
        <v>51</v>
      </c>
      <c r="E34" t="s">
        <v>95</v>
      </c>
      <c r="F34">
        <v>18</v>
      </c>
      <c r="G34" s="2">
        <v>102</v>
      </c>
      <c r="H34" s="2">
        <v>1836</v>
      </c>
      <c r="I34" s="1">
        <v>0.11</v>
      </c>
      <c r="J34" s="2">
        <v>1634.04</v>
      </c>
      <c r="K34" s="1">
        <v>43878</v>
      </c>
      <c r="L34" s="1">
        <v>43878</v>
      </c>
      <c r="M34">
        <v>33</v>
      </c>
      <c r="N34">
        <v>3</v>
      </c>
      <c r="O34" t="s">
        <v>18</v>
      </c>
      <c r="P34" s="3">
        <v>0.06</v>
      </c>
      <c r="Q34" s="2">
        <v>98.042400000000001</v>
      </c>
      <c r="R34">
        <v>5</v>
      </c>
      <c r="S34" t="str">
        <f t="shared" si="0"/>
        <v>Janeiro</v>
      </c>
    </row>
    <row r="35" spans="1:19" hidden="1" x14ac:dyDescent="0.3">
      <c r="A35">
        <v>34</v>
      </c>
      <c r="B35" s="1">
        <v>43851</v>
      </c>
      <c r="C35">
        <v>52</v>
      </c>
      <c r="D35" t="s">
        <v>19</v>
      </c>
      <c r="E35" t="s">
        <v>95</v>
      </c>
      <c r="F35">
        <v>44</v>
      </c>
      <c r="G35" s="2">
        <v>106</v>
      </c>
      <c r="H35" s="2">
        <v>4664</v>
      </c>
      <c r="I35" s="1">
        <v>0.08</v>
      </c>
      <c r="J35" s="2">
        <v>4290.88</v>
      </c>
      <c r="K35" s="1">
        <v>43863</v>
      </c>
      <c r="L35" s="1">
        <v>43863</v>
      </c>
      <c r="M35">
        <v>34</v>
      </c>
      <c r="N35">
        <v>1</v>
      </c>
      <c r="O35" t="s">
        <v>25</v>
      </c>
      <c r="P35" s="3">
        <v>7.0000000000000007E-2</v>
      </c>
      <c r="Q35" s="2">
        <v>300.36160000000001</v>
      </c>
      <c r="R35">
        <v>6</v>
      </c>
      <c r="S35" t="str">
        <f t="shared" si="0"/>
        <v>Janeiro</v>
      </c>
    </row>
    <row r="36" spans="1:19" hidden="1" x14ac:dyDescent="0.3">
      <c r="A36">
        <v>35</v>
      </c>
      <c r="B36" s="1">
        <v>43851</v>
      </c>
      <c r="C36">
        <v>74</v>
      </c>
      <c r="D36" t="s">
        <v>31</v>
      </c>
      <c r="E36" t="s">
        <v>99</v>
      </c>
      <c r="F36">
        <v>41</v>
      </c>
      <c r="G36" s="2">
        <v>105</v>
      </c>
      <c r="H36" s="2">
        <v>4305</v>
      </c>
      <c r="I36" s="1">
        <v>0.13</v>
      </c>
      <c r="J36" s="2">
        <v>3745.35</v>
      </c>
      <c r="K36" s="1">
        <v>43879</v>
      </c>
      <c r="L36" s="1">
        <v>43879</v>
      </c>
      <c r="M36">
        <v>35</v>
      </c>
      <c r="N36">
        <v>6</v>
      </c>
      <c r="O36" t="s">
        <v>42</v>
      </c>
      <c r="P36" s="3">
        <v>0.09</v>
      </c>
      <c r="Q36" s="2">
        <v>337.08150000000001</v>
      </c>
      <c r="R36">
        <v>7</v>
      </c>
      <c r="S36" t="str">
        <f t="shared" si="0"/>
        <v>Janeiro</v>
      </c>
    </row>
    <row r="37" spans="1:19" hidden="1" x14ac:dyDescent="0.3">
      <c r="A37">
        <v>36</v>
      </c>
      <c r="B37" s="1">
        <v>43852</v>
      </c>
      <c r="C37">
        <v>77</v>
      </c>
      <c r="D37" t="s">
        <v>52</v>
      </c>
      <c r="E37" t="s">
        <v>98</v>
      </c>
      <c r="F37">
        <v>19</v>
      </c>
      <c r="G37" s="2">
        <v>111</v>
      </c>
      <c r="H37" s="2">
        <v>2109</v>
      </c>
      <c r="I37" s="1">
        <v>0.08</v>
      </c>
      <c r="J37" s="2">
        <v>1940.28</v>
      </c>
      <c r="K37" s="1">
        <v>43866</v>
      </c>
      <c r="L37" s="1">
        <v>43866</v>
      </c>
      <c r="M37">
        <v>36</v>
      </c>
      <c r="N37">
        <v>2</v>
      </c>
      <c r="O37" t="s">
        <v>30</v>
      </c>
      <c r="P37" s="3">
        <v>0.06</v>
      </c>
      <c r="Q37" s="2">
        <v>116.41679999999999</v>
      </c>
      <c r="R37">
        <v>1</v>
      </c>
      <c r="S37" t="str">
        <f t="shared" si="0"/>
        <v>Janeiro</v>
      </c>
    </row>
    <row r="38" spans="1:19" hidden="1" x14ac:dyDescent="0.3">
      <c r="A38">
        <v>37</v>
      </c>
      <c r="B38" s="1">
        <v>43852</v>
      </c>
      <c r="C38">
        <v>72</v>
      </c>
      <c r="D38" t="s">
        <v>31</v>
      </c>
      <c r="E38" t="s">
        <v>95</v>
      </c>
      <c r="F38">
        <v>14</v>
      </c>
      <c r="G38" s="2">
        <v>94</v>
      </c>
      <c r="H38" s="2">
        <v>1316</v>
      </c>
      <c r="I38" s="1">
        <v>0.09</v>
      </c>
      <c r="J38" s="2">
        <v>1197.56</v>
      </c>
      <c r="K38" s="1">
        <v>43870</v>
      </c>
      <c r="L38" s="1">
        <v>43870</v>
      </c>
      <c r="M38">
        <v>37</v>
      </c>
      <c r="N38">
        <v>7</v>
      </c>
      <c r="O38" t="s">
        <v>38</v>
      </c>
      <c r="P38" s="3">
        <v>0.09</v>
      </c>
      <c r="Q38" s="2">
        <v>107.78039999999999</v>
      </c>
      <c r="R38">
        <v>2</v>
      </c>
      <c r="S38" t="str">
        <f t="shared" si="0"/>
        <v>Janeiro</v>
      </c>
    </row>
    <row r="39" spans="1:19" hidden="1" x14ac:dyDescent="0.3">
      <c r="A39">
        <v>38</v>
      </c>
      <c r="B39" s="1">
        <v>43853</v>
      </c>
      <c r="C39">
        <v>97</v>
      </c>
      <c r="D39" t="s">
        <v>53</v>
      </c>
      <c r="E39" t="s">
        <v>104</v>
      </c>
      <c r="F39">
        <v>16</v>
      </c>
      <c r="G39" s="2">
        <v>108</v>
      </c>
      <c r="H39" s="2">
        <v>1728</v>
      </c>
      <c r="I39" s="1">
        <v>0.08</v>
      </c>
      <c r="J39" s="2">
        <v>1589.76</v>
      </c>
      <c r="K39" s="1">
        <v>43862</v>
      </c>
      <c r="L39" s="1">
        <v>43862</v>
      </c>
      <c r="M39">
        <v>38</v>
      </c>
      <c r="N39">
        <v>4</v>
      </c>
      <c r="O39" t="s">
        <v>38</v>
      </c>
      <c r="P39" s="3">
        <v>0.06</v>
      </c>
      <c r="Q39" s="2">
        <v>95.385599999999997</v>
      </c>
      <c r="R39">
        <v>3</v>
      </c>
      <c r="S39" t="str">
        <f t="shared" si="0"/>
        <v>Janeiro</v>
      </c>
    </row>
    <row r="40" spans="1:19" hidden="1" x14ac:dyDescent="0.3">
      <c r="A40">
        <v>39</v>
      </c>
      <c r="B40" s="1">
        <v>43853</v>
      </c>
      <c r="C40">
        <v>82</v>
      </c>
      <c r="D40" t="s">
        <v>54</v>
      </c>
      <c r="E40" t="s">
        <v>98</v>
      </c>
      <c r="F40">
        <v>41</v>
      </c>
      <c r="G40" s="2">
        <v>102</v>
      </c>
      <c r="H40" s="2">
        <v>4182</v>
      </c>
      <c r="I40" s="1">
        <v>0.04</v>
      </c>
      <c r="J40" s="2">
        <v>4014.72</v>
      </c>
      <c r="K40" s="1">
        <v>43878</v>
      </c>
      <c r="L40" s="1">
        <v>43878</v>
      </c>
      <c r="M40">
        <v>39</v>
      </c>
      <c r="N40">
        <v>7</v>
      </c>
      <c r="O40" t="s">
        <v>23</v>
      </c>
      <c r="P40" s="3">
        <v>0.09</v>
      </c>
      <c r="Q40" s="2">
        <v>361.32479999999998</v>
      </c>
      <c r="R40">
        <v>4</v>
      </c>
      <c r="S40" t="str">
        <f t="shared" si="0"/>
        <v>Janeiro</v>
      </c>
    </row>
    <row r="41" spans="1:19" hidden="1" x14ac:dyDescent="0.3">
      <c r="A41">
        <v>40</v>
      </c>
      <c r="B41" s="1">
        <v>43854</v>
      </c>
      <c r="C41">
        <v>47</v>
      </c>
      <c r="D41" t="s">
        <v>33</v>
      </c>
      <c r="E41" t="s">
        <v>103</v>
      </c>
      <c r="F41">
        <v>46</v>
      </c>
      <c r="G41" s="2">
        <v>107</v>
      </c>
      <c r="H41" s="2">
        <v>4922</v>
      </c>
      <c r="I41" s="1">
        <v>0.15</v>
      </c>
      <c r="J41" s="2">
        <v>4183.7</v>
      </c>
      <c r="K41" s="1">
        <v>43867</v>
      </c>
      <c r="L41" s="1">
        <v>43867</v>
      </c>
      <c r="M41">
        <v>40</v>
      </c>
      <c r="N41">
        <v>6</v>
      </c>
      <c r="O41" t="s">
        <v>20</v>
      </c>
      <c r="P41" s="3">
        <v>0.05</v>
      </c>
      <c r="Q41" s="2">
        <v>209.185</v>
      </c>
      <c r="R41">
        <v>5</v>
      </c>
      <c r="S41" t="str">
        <f t="shared" si="0"/>
        <v>Janeiro</v>
      </c>
    </row>
    <row r="42" spans="1:19" x14ac:dyDescent="0.3">
      <c r="A42">
        <v>41</v>
      </c>
      <c r="B42" s="1">
        <v>43854</v>
      </c>
      <c r="C42">
        <v>77</v>
      </c>
      <c r="D42" t="s">
        <v>52</v>
      </c>
      <c r="E42" t="s">
        <v>99</v>
      </c>
      <c r="F42">
        <v>38</v>
      </c>
      <c r="G42" s="2">
        <v>105</v>
      </c>
      <c r="H42" s="2">
        <v>3990</v>
      </c>
      <c r="I42" s="1">
        <v>0.05</v>
      </c>
      <c r="J42" s="2">
        <v>3790.5</v>
      </c>
      <c r="K42" s="1">
        <v>43881</v>
      </c>
      <c r="L42" s="1">
        <v>43881</v>
      </c>
      <c r="M42">
        <v>41</v>
      </c>
      <c r="N42">
        <v>7</v>
      </c>
      <c r="O42" t="s">
        <v>35</v>
      </c>
      <c r="P42" s="3">
        <v>0.09</v>
      </c>
      <c r="Q42" s="2">
        <v>341.14499999999998</v>
      </c>
      <c r="R42">
        <v>6</v>
      </c>
      <c r="S42" t="str">
        <f t="shared" si="0"/>
        <v>Janeiro</v>
      </c>
    </row>
    <row r="43" spans="1:19" hidden="1" x14ac:dyDescent="0.3">
      <c r="A43">
        <v>42</v>
      </c>
      <c r="B43" s="1">
        <v>43854</v>
      </c>
      <c r="C43">
        <v>8</v>
      </c>
      <c r="D43" t="s">
        <v>31</v>
      </c>
      <c r="E43" t="s">
        <v>100</v>
      </c>
      <c r="F43">
        <v>48</v>
      </c>
      <c r="G43" s="2">
        <v>111</v>
      </c>
      <c r="H43" s="2">
        <v>5328</v>
      </c>
      <c r="I43" s="1">
        <v>0.11</v>
      </c>
      <c r="J43" s="2">
        <v>4741.92</v>
      </c>
      <c r="K43" s="1">
        <v>43867</v>
      </c>
      <c r="L43" s="1">
        <v>43867</v>
      </c>
      <c r="M43">
        <v>42</v>
      </c>
      <c r="N43">
        <v>7</v>
      </c>
      <c r="O43" t="s">
        <v>30</v>
      </c>
      <c r="P43" s="3">
        <v>0.09</v>
      </c>
      <c r="Q43" s="2">
        <v>426.77280000000002</v>
      </c>
      <c r="R43">
        <v>7</v>
      </c>
      <c r="S43" t="str">
        <f t="shared" si="0"/>
        <v>Janeiro</v>
      </c>
    </row>
    <row r="44" spans="1:19" hidden="1" x14ac:dyDescent="0.3">
      <c r="A44">
        <v>43</v>
      </c>
      <c r="B44" s="1">
        <v>43854</v>
      </c>
      <c r="C44">
        <v>41</v>
      </c>
      <c r="D44" t="s">
        <v>55</v>
      </c>
      <c r="E44" t="s">
        <v>96</v>
      </c>
      <c r="F44">
        <v>33</v>
      </c>
      <c r="G44" s="2">
        <v>99</v>
      </c>
      <c r="H44" s="2">
        <v>3267</v>
      </c>
      <c r="I44" s="1">
        <v>0.02</v>
      </c>
      <c r="J44" s="2">
        <v>3201.66</v>
      </c>
      <c r="K44" s="1">
        <v>43877</v>
      </c>
      <c r="L44" s="1">
        <v>43877</v>
      </c>
      <c r="M44">
        <v>43</v>
      </c>
      <c r="N44">
        <v>5</v>
      </c>
      <c r="O44" t="s">
        <v>18</v>
      </c>
      <c r="P44" s="3">
        <v>0.05</v>
      </c>
      <c r="Q44" s="2">
        <v>160.083</v>
      </c>
      <c r="R44">
        <v>1</v>
      </c>
      <c r="S44" t="str">
        <f t="shared" si="0"/>
        <v>Janeiro</v>
      </c>
    </row>
    <row r="45" spans="1:19" hidden="1" x14ac:dyDescent="0.3">
      <c r="A45">
        <v>44</v>
      </c>
      <c r="B45" s="1">
        <v>43855</v>
      </c>
      <c r="C45">
        <v>41</v>
      </c>
      <c r="D45" t="s">
        <v>55</v>
      </c>
      <c r="E45" t="s">
        <v>97</v>
      </c>
      <c r="F45">
        <v>22</v>
      </c>
      <c r="G45" s="2">
        <v>117</v>
      </c>
      <c r="H45" s="2">
        <v>2574</v>
      </c>
      <c r="I45" s="1">
        <v>0.12</v>
      </c>
      <c r="J45" s="2">
        <v>2265.12</v>
      </c>
      <c r="K45" s="1">
        <v>43884</v>
      </c>
      <c r="L45" s="1">
        <v>43884</v>
      </c>
      <c r="M45">
        <v>44</v>
      </c>
      <c r="N45">
        <v>7</v>
      </c>
      <c r="O45" t="s">
        <v>23</v>
      </c>
      <c r="P45" s="3">
        <v>7.0000000000000007E-2</v>
      </c>
      <c r="Q45" s="2">
        <v>158.55840000000001</v>
      </c>
      <c r="R45">
        <v>2</v>
      </c>
      <c r="S45" t="str">
        <f t="shared" si="0"/>
        <v>Janeiro</v>
      </c>
    </row>
    <row r="46" spans="1:19" x14ac:dyDescent="0.3">
      <c r="A46">
        <v>45</v>
      </c>
      <c r="B46" s="1">
        <v>43855</v>
      </c>
      <c r="C46">
        <v>55</v>
      </c>
      <c r="D46" t="s">
        <v>36</v>
      </c>
      <c r="E46" t="s">
        <v>100</v>
      </c>
      <c r="F46">
        <v>31</v>
      </c>
      <c r="G46" s="2">
        <v>110</v>
      </c>
      <c r="H46" s="2">
        <v>3410</v>
      </c>
      <c r="I46" s="1">
        <v>0.04</v>
      </c>
      <c r="J46" s="2">
        <v>3273.6</v>
      </c>
      <c r="K46" s="1">
        <v>43858</v>
      </c>
      <c r="L46" s="1">
        <v>43858</v>
      </c>
      <c r="M46">
        <v>45</v>
      </c>
      <c r="N46">
        <v>6</v>
      </c>
      <c r="O46" t="s">
        <v>35</v>
      </c>
      <c r="P46" s="3">
        <v>0.06</v>
      </c>
      <c r="Q46" s="2">
        <v>196.416</v>
      </c>
      <c r="R46">
        <v>3</v>
      </c>
      <c r="S46" t="str">
        <f t="shared" si="0"/>
        <v>Janeiro</v>
      </c>
    </row>
    <row r="47" spans="1:19" hidden="1" x14ac:dyDescent="0.3">
      <c r="A47">
        <v>46</v>
      </c>
      <c r="B47" s="1">
        <v>43855</v>
      </c>
      <c r="C47">
        <v>40</v>
      </c>
      <c r="D47" t="s">
        <v>40</v>
      </c>
      <c r="E47" t="s">
        <v>100</v>
      </c>
      <c r="F47">
        <v>37</v>
      </c>
      <c r="G47" s="2">
        <v>90</v>
      </c>
      <c r="H47" s="2">
        <v>3330</v>
      </c>
      <c r="I47" s="1">
        <v>0.15</v>
      </c>
      <c r="J47" s="2">
        <v>2830.5</v>
      </c>
      <c r="K47" s="1">
        <v>43876</v>
      </c>
      <c r="L47" s="1">
        <v>43876</v>
      </c>
      <c r="M47">
        <v>46</v>
      </c>
      <c r="N47">
        <v>1</v>
      </c>
      <c r="O47" t="s">
        <v>27</v>
      </c>
      <c r="P47" s="3">
        <v>0.1</v>
      </c>
      <c r="Q47" s="2">
        <v>283.05</v>
      </c>
      <c r="R47">
        <v>4</v>
      </c>
      <c r="S47" t="str">
        <f t="shared" si="0"/>
        <v>Janeiro</v>
      </c>
    </row>
    <row r="48" spans="1:19" hidden="1" x14ac:dyDescent="0.3">
      <c r="A48">
        <v>47</v>
      </c>
      <c r="B48" s="1">
        <v>43855</v>
      </c>
      <c r="C48">
        <v>47</v>
      </c>
      <c r="D48" t="s">
        <v>33</v>
      </c>
      <c r="E48" t="s">
        <v>100</v>
      </c>
      <c r="F48">
        <v>45</v>
      </c>
      <c r="G48" s="2">
        <v>108</v>
      </c>
      <c r="H48" s="2">
        <v>4860</v>
      </c>
      <c r="I48" s="1">
        <v>0.11</v>
      </c>
      <c r="J48" s="2">
        <v>4325.3999999999996</v>
      </c>
      <c r="K48" s="1">
        <v>43860</v>
      </c>
      <c r="L48" s="1">
        <v>43860</v>
      </c>
      <c r="M48">
        <v>47</v>
      </c>
      <c r="N48">
        <v>6</v>
      </c>
      <c r="O48" t="s">
        <v>56</v>
      </c>
      <c r="P48" s="3">
        <v>0.1</v>
      </c>
      <c r="Q48" s="2">
        <v>432.53999999999996</v>
      </c>
      <c r="R48">
        <v>5</v>
      </c>
      <c r="S48" t="str">
        <f t="shared" si="0"/>
        <v>Janeiro</v>
      </c>
    </row>
    <row r="49" spans="1:19" hidden="1" x14ac:dyDescent="0.3">
      <c r="A49">
        <v>48</v>
      </c>
      <c r="B49" s="1">
        <v>43857</v>
      </c>
      <c r="C49">
        <v>36</v>
      </c>
      <c r="D49" t="s">
        <v>57</v>
      </c>
      <c r="E49" t="s">
        <v>97</v>
      </c>
      <c r="F49">
        <v>26</v>
      </c>
      <c r="G49" s="2">
        <v>93</v>
      </c>
      <c r="H49" s="2">
        <v>2418</v>
      </c>
      <c r="I49" s="1">
        <v>0.05</v>
      </c>
      <c r="J49" s="2">
        <v>2297.1</v>
      </c>
      <c r="K49" s="1">
        <v>43878</v>
      </c>
      <c r="L49" s="1">
        <v>43878</v>
      </c>
      <c r="M49">
        <v>48</v>
      </c>
      <c r="N49">
        <v>7</v>
      </c>
      <c r="O49" t="s">
        <v>27</v>
      </c>
      <c r="P49" s="3">
        <v>0.09</v>
      </c>
      <c r="Q49" s="2">
        <v>206.73899999999998</v>
      </c>
      <c r="R49">
        <v>6</v>
      </c>
      <c r="S49" t="str">
        <f t="shared" si="0"/>
        <v>Janeiro</v>
      </c>
    </row>
    <row r="50" spans="1:19" hidden="1" x14ac:dyDescent="0.3">
      <c r="A50">
        <v>49</v>
      </c>
      <c r="B50" s="1">
        <v>43859</v>
      </c>
      <c r="C50">
        <v>44</v>
      </c>
      <c r="D50" t="s">
        <v>58</v>
      </c>
      <c r="E50" t="s">
        <v>102</v>
      </c>
      <c r="F50">
        <v>44</v>
      </c>
      <c r="G50" s="2">
        <v>92</v>
      </c>
      <c r="H50" s="2">
        <v>4048</v>
      </c>
      <c r="I50" s="1">
        <v>0.04</v>
      </c>
      <c r="J50" s="2">
        <v>3886.08</v>
      </c>
      <c r="K50" s="1">
        <v>43889</v>
      </c>
      <c r="L50" s="1">
        <v>43889</v>
      </c>
      <c r="M50">
        <v>49</v>
      </c>
      <c r="N50">
        <v>5</v>
      </c>
      <c r="O50" t="s">
        <v>42</v>
      </c>
      <c r="P50" s="3">
        <v>0.1</v>
      </c>
      <c r="Q50" s="2">
        <v>388.608</v>
      </c>
      <c r="R50">
        <v>7</v>
      </c>
      <c r="S50" t="str">
        <f t="shared" si="0"/>
        <v>Janeiro</v>
      </c>
    </row>
    <row r="51" spans="1:19" hidden="1" x14ac:dyDescent="0.3">
      <c r="A51">
        <v>50</v>
      </c>
      <c r="B51" s="1">
        <v>43859</v>
      </c>
      <c r="C51">
        <v>58</v>
      </c>
      <c r="D51" t="s">
        <v>59</v>
      </c>
      <c r="E51" t="s">
        <v>97</v>
      </c>
      <c r="F51">
        <v>26</v>
      </c>
      <c r="G51" s="2">
        <v>116</v>
      </c>
      <c r="H51" s="2">
        <v>3016</v>
      </c>
      <c r="I51" s="1">
        <v>0</v>
      </c>
      <c r="J51" s="2">
        <v>3016</v>
      </c>
      <c r="K51" s="1">
        <v>43884</v>
      </c>
      <c r="L51" s="1">
        <v>43884</v>
      </c>
      <c r="M51">
        <v>50</v>
      </c>
      <c r="N51">
        <v>1</v>
      </c>
      <c r="O51" t="s">
        <v>20</v>
      </c>
      <c r="P51" s="3">
        <v>0.1</v>
      </c>
      <c r="Q51" s="2">
        <v>301.60000000000002</v>
      </c>
      <c r="R51">
        <v>1</v>
      </c>
      <c r="S51" t="str">
        <f t="shared" si="0"/>
        <v>Janeiro</v>
      </c>
    </row>
    <row r="52" spans="1:19" hidden="1" x14ac:dyDescent="0.3">
      <c r="A52">
        <v>51</v>
      </c>
      <c r="B52" s="1">
        <v>43859</v>
      </c>
      <c r="C52">
        <v>38</v>
      </c>
      <c r="D52" t="s">
        <v>60</v>
      </c>
      <c r="E52" t="s">
        <v>95</v>
      </c>
      <c r="F52">
        <v>50</v>
      </c>
      <c r="G52" s="2">
        <v>91</v>
      </c>
      <c r="H52" s="2">
        <v>4550</v>
      </c>
      <c r="I52" s="1">
        <v>0.12</v>
      </c>
      <c r="J52" s="2">
        <v>4004</v>
      </c>
      <c r="K52" s="1">
        <v>43860</v>
      </c>
      <c r="L52" s="1">
        <v>43860</v>
      </c>
      <c r="M52">
        <v>51</v>
      </c>
      <c r="N52">
        <v>7</v>
      </c>
      <c r="O52" t="s">
        <v>18</v>
      </c>
      <c r="P52" s="3">
        <v>0.09</v>
      </c>
      <c r="Q52" s="2">
        <v>360.36</v>
      </c>
      <c r="R52">
        <v>2</v>
      </c>
      <c r="S52" t="str">
        <f t="shared" si="0"/>
        <v>Janeiro</v>
      </c>
    </row>
    <row r="53" spans="1:19" hidden="1" x14ac:dyDescent="0.3">
      <c r="A53">
        <v>52</v>
      </c>
      <c r="B53" s="1">
        <v>43859</v>
      </c>
      <c r="C53">
        <v>94</v>
      </c>
      <c r="D53" t="s">
        <v>40</v>
      </c>
      <c r="E53" t="s">
        <v>99</v>
      </c>
      <c r="F53">
        <v>30</v>
      </c>
      <c r="G53" s="2">
        <v>103</v>
      </c>
      <c r="H53" s="2">
        <v>3090</v>
      </c>
      <c r="I53" s="1">
        <v>0.06</v>
      </c>
      <c r="J53" s="2">
        <v>2904.6</v>
      </c>
      <c r="K53" s="1">
        <v>43871</v>
      </c>
      <c r="L53" s="1">
        <v>43871</v>
      </c>
      <c r="M53">
        <v>52</v>
      </c>
      <c r="N53">
        <v>3</v>
      </c>
      <c r="O53" t="s">
        <v>56</v>
      </c>
      <c r="P53" s="3">
        <v>7.0000000000000007E-2</v>
      </c>
      <c r="Q53" s="2">
        <v>203.322</v>
      </c>
      <c r="R53">
        <v>3</v>
      </c>
      <c r="S53" t="str">
        <f t="shared" si="0"/>
        <v>Janeiro</v>
      </c>
    </row>
    <row r="54" spans="1:19" hidden="1" x14ac:dyDescent="0.3">
      <c r="A54">
        <v>53</v>
      </c>
      <c r="B54" s="1">
        <v>43860</v>
      </c>
      <c r="C54">
        <v>24</v>
      </c>
      <c r="D54" t="s">
        <v>61</v>
      </c>
      <c r="E54" t="s">
        <v>95</v>
      </c>
      <c r="F54">
        <v>44</v>
      </c>
      <c r="G54" s="2">
        <v>94</v>
      </c>
      <c r="H54" s="2">
        <v>4136</v>
      </c>
      <c r="I54" s="1">
        <v>0.08</v>
      </c>
      <c r="J54" s="2">
        <v>3805.12</v>
      </c>
      <c r="K54" s="1">
        <v>43886</v>
      </c>
      <c r="L54" s="1">
        <v>43886</v>
      </c>
      <c r="M54">
        <v>53</v>
      </c>
      <c r="N54">
        <v>6</v>
      </c>
      <c r="O54" t="s">
        <v>30</v>
      </c>
      <c r="P54" s="3">
        <v>0.06</v>
      </c>
      <c r="Q54" s="2">
        <v>228.30719999999999</v>
      </c>
      <c r="R54">
        <v>4</v>
      </c>
      <c r="S54" t="str">
        <f t="shared" si="0"/>
        <v>Janeiro</v>
      </c>
    </row>
    <row r="55" spans="1:19" hidden="1" x14ac:dyDescent="0.3">
      <c r="A55">
        <v>54</v>
      </c>
      <c r="B55" s="1">
        <v>43861</v>
      </c>
      <c r="C55">
        <v>93</v>
      </c>
      <c r="D55" t="s">
        <v>26</v>
      </c>
      <c r="E55" t="s">
        <v>97</v>
      </c>
      <c r="F55">
        <v>41</v>
      </c>
      <c r="G55" s="2">
        <v>103</v>
      </c>
      <c r="H55" s="2">
        <v>4223</v>
      </c>
      <c r="I55" s="1">
        <v>0.1</v>
      </c>
      <c r="J55" s="2">
        <v>3800.7</v>
      </c>
      <c r="K55" s="1">
        <v>43869</v>
      </c>
      <c r="L55" s="1">
        <v>43869</v>
      </c>
      <c r="M55">
        <v>54</v>
      </c>
      <c r="N55">
        <v>2</v>
      </c>
      <c r="O55" t="s">
        <v>18</v>
      </c>
      <c r="P55" s="3">
        <v>0.08</v>
      </c>
      <c r="Q55" s="2">
        <v>304.05599999999998</v>
      </c>
      <c r="R55">
        <v>5</v>
      </c>
      <c r="S55" t="str">
        <f t="shared" si="0"/>
        <v>Janeiro</v>
      </c>
    </row>
    <row r="56" spans="1:19" hidden="1" x14ac:dyDescent="0.3">
      <c r="A56">
        <v>55</v>
      </c>
      <c r="B56" s="1">
        <v>43861</v>
      </c>
      <c r="C56">
        <v>95</v>
      </c>
      <c r="D56" t="s">
        <v>31</v>
      </c>
      <c r="E56" t="s">
        <v>100</v>
      </c>
      <c r="F56">
        <v>11</v>
      </c>
      <c r="G56" s="2">
        <v>105</v>
      </c>
      <c r="H56" s="2">
        <v>1155</v>
      </c>
      <c r="I56" s="1">
        <v>0.06</v>
      </c>
      <c r="J56" s="2">
        <v>1085.7</v>
      </c>
      <c r="K56" s="1">
        <v>43872</v>
      </c>
      <c r="L56" s="1">
        <v>43872</v>
      </c>
      <c r="M56">
        <v>55</v>
      </c>
      <c r="N56">
        <v>4</v>
      </c>
      <c r="O56" t="s">
        <v>23</v>
      </c>
      <c r="P56" s="3">
        <v>7.0000000000000007E-2</v>
      </c>
      <c r="Q56" s="2">
        <v>75.999000000000009</v>
      </c>
      <c r="R56">
        <v>6</v>
      </c>
      <c r="S56" t="str">
        <f t="shared" si="0"/>
        <v>Janeiro</v>
      </c>
    </row>
    <row r="57" spans="1:19" hidden="1" x14ac:dyDescent="0.3">
      <c r="A57">
        <v>56</v>
      </c>
      <c r="B57" s="1">
        <v>43861</v>
      </c>
      <c r="C57">
        <v>13</v>
      </c>
      <c r="D57" t="s">
        <v>62</v>
      </c>
      <c r="E57" t="s">
        <v>98</v>
      </c>
      <c r="F57">
        <v>45</v>
      </c>
      <c r="G57" s="2">
        <v>106</v>
      </c>
      <c r="H57" s="2">
        <v>4770</v>
      </c>
      <c r="I57" s="1">
        <v>0.12</v>
      </c>
      <c r="J57" s="2">
        <v>4197.6000000000004</v>
      </c>
      <c r="K57" s="1">
        <v>43886</v>
      </c>
      <c r="L57" s="1">
        <v>43886</v>
      </c>
      <c r="M57">
        <v>56</v>
      </c>
      <c r="N57">
        <v>6</v>
      </c>
      <c r="O57" t="s">
        <v>20</v>
      </c>
      <c r="P57" s="3">
        <v>0.05</v>
      </c>
      <c r="Q57" s="2">
        <v>209.88000000000002</v>
      </c>
      <c r="R57">
        <v>7</v>
      </c>
      <c r="S57" t="str">
        <f t="shared" si="0"/>
        <v>Janeiro</v>
      </c>
    </row>
    <row r="58" spans="1:19" hidden="1" x14ac:dyDescent="0.3">
      <c r="A58">
        <v>57</v>
      </c>
      <c r="B58" s="1">
        <v>43862</v>
      </c>
      <c r="C58">
        <v>33</v>
      </c>
      <c r="D58" t="s">
        <v>63</v>
      </c>
      <c r="E58" t="s">
        <v>99</v>
      </c>
      <c r="F58">
        <v>35</v>
      </c>
      <c r="G58" s="2">
        <v>101</v>
      </c>
      <c r="H58" s="2">
        <v>3535</v>
      </c>
      <c r="I58" s="1">
        <v>0.13</v>
      </c>
      <c r="J58" s="2">
        <v>3075.45</v>
      </c>
      <c r="K58" s="1">
        <v>43888</v>
      </c>
      <c r="L58" s="1">
        <v>43888</v>
      </c>
      <c r="M58">
        <v>57</v>
      </c>
      <c r="N58">
        <v>4</v>
      </c>
      <c r="O58" t="s">
        <v>25</v>
      </c>
      <c r="P58" s="3">
        <v>0.08</v>
      </c>
      <c r="Q58" s="2">
        <v>246.036</v>
      </c>
      <c r="R58">
        <v>1</v>
      </c>
      <c r="S58" t="str">
        <f t="shared" si="0"/>
        <v>Fevereiro</v>
      </c>
    </row>
    <row r="59" spans="1:19" x14ac:dyDescent="0.3">
      <c r="A59">
        <v>58</v>
      </c>
      <c r="B59" s="1">
        <v>43862</v>
      </c>
      <c r="C59">
        <v>52</v>
      </c>
      <c r="D59" t="s">
        <v>19</v>
      </c>
      <c r="E59" t="s">
        <v>101</v>
      </c>
      <c r="F59">
        <v>15</v>
      </c>
      <c r="G59" s="2">
        <v>104</v>
      </c>
      <c r="H59" s="2">
        <v>1560</v>
      </c>
      <c r="I59" s="1">
        <v>0.12</v>
      </c>
      <c r="J59" s="2">
        <v>1372.8</v>
      </c>
      <c r="K59" s="1">
        <v>43882</v>
      </c>
      <c r="L59" s="1">
        <v>43882</v>
      </c>
      <c r="M59">
        <v>58</v>
      </c>
      <c r="N59">
        <v>4</v>
      </c>
      <c r="O59" t="s">
        <v>35</v>
      </c>
      <c r="P59" s="3">
        <v>0.08</v>
      </c>
      <c r="Q59" s="2">
        <v>109.824</v>
      </c>
      <c r="R59">
        <v>2</v>
      </c>
      <c r="S59" t="str">
        <f t="shared" si="0"/>
        <v>Fevereiro</v>
      </c>
    </row>
    <row r="60" spans="1:19" hidden="1" x14ac:dyDescent="0.3">
      <c r="A60">
        <v>59</v>
      </c>
      <c r="B60" s="1">
        <v>43863</v>
      </c>
      <c r="C60">
        <v>15</v>
      </c>
      <c r="D60" t="s">
        <v>64</v>
      </c>
      <c r="E60" t="s">
        <v>98</v>
      </c>
      <c r="F60">
        <v>13</v>
      </c>
      <c r="G60" s="2">
        <v>116</v>
      </c>
      <c r="H60" s="2">
        <v>1508</v>
      </c>
      <c r="I60" s="1">
        <v>0.14000000000000001</v>
      </c>
      <c r="J60" s="2">
        <v>1296.8799999999999</v>
      </c>
      <c r="K60" s="1">
        <v>43891</v>
      </c>
      <c r="L60" s="1">
        <v>43891</v>
      </c>
      <c r="M60">
        <v>59</v>
      </c>
      <c r="N60">
        <v>3</v>
      </c>
      <c r="O60" t="s">
        <v>23</v>
      </c>
      <c r="P60" s="3">
        <v>7.0000000000000007E-2</v>
      </c>
      <c r="Q60" s="2">
        <v>90.781599999999997</v>
      </c>
      <c r="R60">
        <v>3</v>
      </c>
      <c r="S60" t="str">
        <f t="shared" si="0"/>
        <v>Fevereiro</v>
      </c>
    </row>
    <row r="61" spans="1:19" hidden="1" x14ac:dyDescent="0.3">
      <c r="A61">
        <v>60</v>
      </c>
      <c r="B61" s="1">
        <v>43864</v>
      </c>
      <c r="C61">
        <v>13</v>
      </c>
      <c r="D61" t="s">
        <v>62</v>
      </c>
      <c r="E61" t="s">
        <v>95</v>
      </c>
      <c r="F61">
        <v>43</v>
      </c>
      <c r="G61" s="2">
        <v>98</v>
      </c>
      <c r="H61" s="2">
        <v>4214</v>
      </c>
      <c r="I61" s="1">
        <v>0.08</v>
      </c>
      <c r="J61" s="2">
        <v>3876.88</v>
      </c>
      <c r="K61" s="1">
        <v>43879</v>
      </c>
      <c r="L61" s="1">
        <v>43879</v>
      </c>
      <c r="M61">
        <v>60</v>
      </c>
      <c r="N61">
        <v>1</v>
      </c>
      <c r="O61" t="s">
        <v>27</v>
      </c>
      <c r="P61" s="3">
        <v>7.0000000000000007E-2</v>
      </c>
      <c r="Q61" s="2">
        <v>271.38160000000005</v>
      </c>
      <c r="R61">
        <v>4</v>
      </c>
      <c r="S61" t="str">
        <f t="shared" si="0"/>
        <v>Fevereiro</v>
      </c>
    </row>
    <row r="62" spans="1:19" hidden="1" x14ac:dyDescent="0.3">
      <c r="A62">
        <v>61</v>
      </c>
      <c r="B62" s="1">
        <v>43864</v>
      </c>
      <c r="C62">
        <v>89</v>
      </c>
      <c r="D62" t="s">
        <v>40</v>
      </c>
      <c r="E62" t="s">
        <v>100</v>
      </c>
      <c r="F62">
        <v>28</v>
      </c>
      <c r="G62" s="2">
        <v>102</v>
      </c>
      <c r="H62" s="2">
        <v>2856</v>
      </c>
      <c r="I62" s="1">
        <v>0</v>
      </c>
      <c r="J62" s="2">
        <v>2856</v>
      </c>
      <c r="K62" s="1">
        <v>43890</v>
      </c>
      <c r="L62" s="1">
        <v>43890</v>
      </c>
      <c r="M62">
        <v>61</v>
      </c>
      <c r="N62">
        <v>2</v>
      </c>
      <c r="O62" t="s">
        <v>38</v>
      </c>
      <c r="P62" s="3">
        <v>0.09</v>
      </c>
      <c r="Q62" s="2">
        <v>257.03999999999996</v>
      </c>
      <c r="R62">
        <v>5</v>
      </c>
      <c r="S62" t="str">
        <f t="shared" si="0"/>
        <v>Fevereiro</v>
      </c>
    </row>
    <row r="63" spans="1:19" hidden="1" x14ac:dyDescent="0.3">
      <c r="A63">
        <v>62</v>
      </c>
      <c r="B63" s="1">
        <v>43865</v>
      </c>
      <c r="C63">
        <v>64</v>
      </c>
      <c r="D63" t="s">
        <v>65</v>
      </c>
      <c r="E63" t="s">
        <v>99</v>
      </c>
      <c r="F63">
        <v>16</v>
      </c>
      <c r="G63" s="2">
        <v>112</v>
      </c>
      <c r="H63" s="2">
        <v>1792</v>
      </c>
      <c r="I63" s="1">
        <v>0.04</v>
      </c>
      <c r="J63" s="2">
        <v>1720.32</v>
      </c>
      <c r="K63" s="1">
        <v>43869</v>
      </c>
      <c r="L63" s="1">
        <v>43869</v>
      </c>
      <c r="M63">
        <v>62</v>
      </c>
      <c r="N63">
        <v>4</v>
      </c>
      <c r="O63" t="s">
        <v>42</v>
      </c>
      <c r="P63" s="3">
        <v>0.05</v>
      </c>
      <c r="Q63" s="2">
        <v>86.016000000000005</v>
      </c>
      <c r="R63">
        <v>6</v>
      </c>
      <c r="S63" t="str">
        <f t="shared" si="0"/>
        <v>Fevereiro</v>
      </c>
    </row>
    <row r="64" spans="1:19" x14ac:dyDescent="0.3">
      <c r="A64">
        <v>63</v>
      </c>
      <c r="B64" s="1">
        <v>43865</v>
      </c>
      <c r="C64">
        <v>54</v>
      </c>
      <c r="D64" t="s">
        <v>66</v>
      </c>
      <c r="E64" t="s">
        <v>101</v>
      </c>
      <c r="F64">
        <v>42</v>
      </c>
      <c r="G64" s="2">
        <v>102</v>
      </c>
      <c r="H64" s="2">
        <v>4284</v>
      </c>
      <c r="I64" s="1">
        <v>0.05</v>
      </c>
      <c r="J64" s="2">
        <v>4069.8</v>
      </c>
      <c r="K64" s="1">
        <v>43885</v>
      </c>
      <c r="L64" s="1">
        <v>43885</v>
      </c>
      <c r="M64">
        <v>63</v>
      </c>
      <c r="N64">
        <v>2</v>
      </c>
      <c r="O64" t="s">
        <v>35</v>
      </c>
      <c r="P64" s="3">
        <v>0.05</v>
      </c>
      <c r="Q64" s="2">
        <v>203.49</v>
      </c>
      <c r="R64">
        <v>7</v>
      </c>
      <c r="S64" t="str">
        <f t="shared" si="0"/>
        <v>Fevereiro</v>
      </c>
    </row>
    <row r="65" spans="1:19" x14ac:dyDescent="0.3">
      <c r="A65">
        <v>64</v>
      </c>
      <c r="B65" s="1">
        <v>43866</v>
      </c>
      <c r="C65">
        <v>41</v>
      </c>
      <c r="D65" t="s">
        <v>55</v>
      </c>
      <c r="E65" t="s">
        <v>96</v>
      </c>
      <c r="F65">
        <v>32</v>
      </c>
      <c r="G65" s="2">
        <v>110</v>
      </c>
      <c r="H65" s="2">
        <v>3520</v>
      </c>
      <c r="I65" s="1">
        <v>0</v>
      </c>
      <c r="J65" s="2">
        <v>3520</v>
      </c>
      <c r="K65" s="1">
        <v>43877</v>
      </c>
      <c r="L65" s="1">
        <v>43877</v>
      </c>
      <c r="M65">
        <v>64</v>
      </c>
      <c r="N65">
        <v>4</v>
      </c>
      <c r="O65" t="s">
        <v>35</v>
      </c>
      <c r="P65" s="3">
        <v>0.06</v>
      </c>
      <c r="Q65" s="2">
        <v>211.2</v>
      </c>
      <c r="R65">
        <v>1</v>
      </c>
      <c r="S65" t="str">
        <f t="shared" si="0"/>
        <v>Fevereiro</v>
      </c>
    </row>
    <row r="66" spans="1:19" hidden="1" x14ac:dyDescent="0.3">
      <c r="A66">
        <v>65</v>
      </c>
      <c r="B66" s="1">
        <v>43866</v>
      </c>
      <c r="C66">
        <v>65</v>
      </c>
      <c r="D66" t="s">
        <v>51</v>
      </c>
      <c r="E66" t="s">
        <v>104</v>
      </c>
      <c r="F66">
        <v>17</v>
      </c>
      <c r="G66" s="2">
        <v>93</v>
      </c>
      <c r="H66" s="2">
        <v>1581</v>
      </c>
      <c r="I66" s="1">
        <v>0.02</v>
      </c>
      <c r="J66" s="2">
        <v>1549.38</v>
      </c>
      <c r="K66" s="1">
        <v>43871</v>
      </c>
      <c r="L66" s="1">
        <v>43871</v>
      </c>
      <c r="M66">
        <v>65</v>
      </c>
      <c r="N66">
        <v>5</v>
      </c>
      <c r="O66" t="s">
        <v>27</v>
      </c>
      <c r="P66" s="3">
        <v>0.05</v>
      </c>
      <c r="Q66" s="2">
        <v>77.469000000000008</v>
      </c>
      <c r="R66">
        <v>2</v>
      </c>
      <c r="S66" t="str">
        <f t="shared" si="0"/>
        <v>Fevereiro</v>
      </c>
    </row>
    <row r="67" spans="1:19" hidden="1" x14ac:dyDescent="0.3">
      <c r="A67">
        <v>66</v>
      </c>
      <c r="B67" s="1">
        <v>43866</v>
      </c>
      <c r="C67">
        <v>94</v>
      </c>
      <c r="D67" t="s">
        <v>40</v>
      </c>
      <c r="E67" t="s">
        <v>95</v>
      </c>
      <c r="F67">
        <v>23</v>
      </c>
      <c r="G67" s="2">
        <v>107</v>
      </c>
      <c r="H67" s="2">
        <v>2461</v>
      </c>
      <c r="I67" s="1">
        <v>0.1</v>
      </c>
      <c r="J67" s="2">
        <v>2214.9</v>
      </c>
      <c r="K67" s="1">
        <v>43877</v>
      </c>
      <c r="L67" s="1">
        <v>43877</v>
      </c>
      <c r="M67">
        <v>66</v>
      </c>
      <c r="N67">
        <v>1</v>
      </c>
      <c r="O67" t="s">
        <v>20</v>
      </c>
      <c r="P67" s="3">
        <v>0.05</v>
      </c>
      <c r="Q67" s="2">
        <v>110.745</v>
      </c>
      <c r="R67">
        <v>3</v>
      </c>
      <c r="S67" t="str">
        <f t="shared" ref="S67:S130" si="1">PROPER(TEXT(B67,"mmmm"))</f>
        <v>Fevereiro</v>
      </c>
    </row>
    <row r="68" spans="1:19" hidden="1" x14ac:dyDescent="0.3">
      <c r="A68">
        <v>67</v>
      </c>
      <c r="B68" s="1">
        <v>43866</v>
      </c>
      <c r="C68">
        <v>47</v>
      </c>
      <c r="D68" t="s">
        <v>33</v>
      </c>
      <c r="E68" t="s">
        <v>95</v>
      </c>
      <c r="F68">
        <v>35</v>
      </c>
      <c r="G68" s="2">
        <v>93</v>
      </c>
      <c r="H68" s="2">
        <v>3255</v>
      </c>
      <c r="I68" s="1">
        <v>0.14000000000000001</v>
      </c>
      <c r="J68" s="2">
        <v>2799.3</v>
      </c>
      <c r="K68" s="1">
        <v>43886</v>
      </c>
      <c r="L68" s="1">
        <v>43886</v>
      </c>
      <c r="M68">
        <v>67</v>
      </c>
      <c r="N68">
        <v>5</v>
      </c>
      <c r="O68" t="s">
        <v>42</v>
      </c>
      <c r="P68" s="3">
        <v>0.1</v>
      </c>
      <c r="Q68" s="2">
        <v>279.93</v>
      </c>
      <c r="R68">
        <v>4</v>
      </c>
      <c r="S68" t="str">
        <f t="shared" si="1"/>
        <v>Fevereiro</v>
      </c>
    </row>
    <row r="69" spans="1:19" hidden="1" x14ac:dyDescent="0.3">
      <c r="A69">
        <v>68</v>
      </c>
      <c r="B69" s="1">
        <v>43866</v>
      </c>
      <c r="C69">
        <v>69</v>
      </c>
      <c r="D69" t="s">
        <v>54</v>
      </c>
      <c r="E69" t="s">
        <v>99</v>
      </c>
      <c r="F69">
        <v>45</v>
      </c>
      <c r="G69" s="2">
        <v>119</v>
      </c>
      <c r="H69" s="2">
        <v>5355</v>
      </c>
      <c r="I69" s="1">
        <v>0.05</v>
      </c>
      <c r="J69" s="2">
        <v>5087.25</v>
      </c>
      <c r="K69" s="1">
        <v>43885</v>
      </c>
      <c r="L69" s="1">
        <v>43885</v>
      </c>
      <c r="M69">
        <v>68</v>
      </c>
      <c r="N69">
        <v>1</v>
      </c>
      <c r="O69" t="s">
        <v>20</v>
      </c>
      <c r="P69" s="3">
        <v>0.05</v>
      </c>
      <c r="Q69" s="2">
        <v>254.36250000000001</v>
      </c>
      <c r="R69">
        <v>5</v>
      </c>
      <c r="S69" t="str">
        <f t="shared" si="1"/>
        <v>Fevereiro</v>
      </c>
    </row>
    <row r="70" spans="1:19" hidden="1" x14ac:dyDescent="0.3">
      <c r="A70">
        <v>69</v>
      </c>
      <c r="B70" s="1">
        <v>43866</v>
      </c>
      <c r="C70">
        <v>39</v>
      </c>
      <c r="D70" t="s">
        <v>31</v>
      </c>
      <c r="E70" t="s">
        <v>101</v>
      </c>
      <c r="F70">
        <v>32</v>
      </c>
      <c r="G70" s="2">
        <v>117</v>
      </c>
      <c r="H70" s="2">
        <v>3744</v>
      </c>
      <c r="I70" s="1">
        <v>0.14000000000000001</v>
      </c>
      <c r="J70" s="2">
        <v>3219.84</v>
      </c>
      <c r="K70" s="1">
        <v>43884</v>
      </c>
      <c r="L70" s="1">
        <v>43884</v>
      </c>
      <c r="M70">
        <v>69</v>
      </c>
      <c r="N70">
        <v>1</v>
      </c>
      <c r="O70" t="s">
        <v>38</v>
      </c>
      <c r="P70" s="3">
        <v>0.09</v>
      </c>
      <c r="Q70" s="2">
        <v>289.78559999999999</v>
      </c>
      <c r="R70">
        <v>6</v>
      </c>
      <c r="S70" t="str">
        <f t="shared" si="1"/>
        <v>Fevereiro</v>
      </c>
    </row>
    <row r="71" spans="1:19" hidden="1" x14ac:dyDescent="0.3">
      <c r="A71">
        <v>70</v>
      </c>
      <c r="B71" s="1">
        <v>43867</v>
      </c>
      <c r="C71">
        <v>94</v>
      </c>
      <c r="D71" t="s">
        <v>40</v>
      </c>
      <c r="E71" t="s">
        <v>95</v>
      </c>
      <c r="F71">
        <v>40</v>
      </c>
      <c r="G71" s="2">
        <v>99</v>
      </c>
      <c r="H71" s="2">
        <v>3960</v>
      </c>
      <c r="I71" s="1">
        <v>0.01</v>
      </c>
      <c r="J71" s="2">
        <v>3920.4</v>
      </c>
      <c r="K71" s="1">
        <v>43875</v>
      </c>
      <c r="L71" s="1">
        <v>43875</v>
      </c>
      <c r="M71">
        <v>70</v>
      </c>
      <c r="N71">
        <v>3</v>
      </c>
      <c r="O71" t="s">
        <v>27</v>
      </c>
      <c r="P71" s="3">
        <v>0.08</v>
      </c>
      <c r="Q71" s="2">
        <v>313.63200000000001</v>
      </c>
      <c r="R71">
        <v>7</v>
      </c>
      <c r="S71" t="str">
        <f t="shared" si="1"/>
        <v>Fevereiro</v>
      </c>
    </row>
    <row r="72" spans="1:19" hidden="1" x14ac:dyDescent="0.3">
      <c r="A72">
        <v>71</v>
      </c>
      <c r="B72" s="1">
        <v>43867</v>
      </c>
      <c r="C72">
        <v>17</v>
      </c>
      <c r="D72" t="s">
        <v>54</v>
      </c>
      <c r="E72" t="s">
        <v>103</v>
      </c>
      <c r="F72">
        <v>43</v>
      </c>
      <c r="G72" s="2">
        <v>106</v>
      </c>
      <c r="H72" s="2">
        <v>4558</v>
      </c>
      <c r="I72" s="1">
        <v>0.08</v>
      </c>
      <c r="J72" s="2">
        <v>4193.3599999999997</v>
      </c>
      <c r="K72" s="1">
        <v>43880</v>
      </c>
      <c r="L72" s="1">
        <v>43880</v>
      </c>
      <c r="M72">
        <v>71</v>
      </c>
      <c r="N72">
        <v>7</v>
      </c>
      <c r="O72" t="s">
        <v>18</v>
      </c>
      <c r="P72" s="3">
        <v>0.09</v>
      </c>
      <c r="Q72" s="2">
        <v>377.40239999999994</v>
      </c>
      <c r="R72">
        <v>1</v>
      </c>
      <c r="S72" t="str">
        <f t="shared" si="1"/>
        <v>Fevereiro</v>
      </c>
    </row>
    <row r="73" spans="1:19" hidden="1" x14ac:dyDescent="0.3">
      <c r="A73">
        <v>72</v>
      </c>
      <c r="B73" s="1">
        <v>43868</v>
      </c>
      <c r="C73">
        <v>73</v>
      </c>
      <c r="D73" t="s">
        <v>31</v>
      </c>
      <c r="E73" t="s">
        <v>100</v>
      </c>
      <c r="F73">
        <v>11</v>
      </c>
      <c r="G73" s="2">
        <v>120</v>
      </c>
      <c r="H73" s="2">
        <v>1320</v>
      </c>
      <c r="I73" s="1">
        <v>0.02</v>
      </c>
      <c r="J73" s="2">
        <v>1293.5999999999999</v>
      </c>
      <c r="K73" s="1">
        <v>43887</v>
      </c>
      <c r="L73" s="1">
        <v>43887</v>
      </c>
      <c r="M73">
        <v>72</v>
      </c>
      <c r="N73">
        <v>4</v>
      </c>
      <c r="O73" t="s">
        <v>23</v>
      </c>
      <c r="P73" s="3">
        <v>0.1</v>
      </c>
      <c r="Q73" s="2">
        <v>129.35999999999999</v>
      </c>
      <c r="R73">
        <v>2</v>
      </c>
      <c r="S73" t="str">
        <f t="shared" si="1"/>
        <v>Fevereiro</v>
      </c>
    </row>
    <row r="74" spans="1:19" hidden="1" x14ac:dyDescent="0.3">
      <c r="A74">
        <v>73</v>
      </c>
      <c r="B74" s="1">
        <v>43868</v>
      </c>
      <c r="C74">
        <v>63</v>
      </c>
      <c r="D74" t="s">
        <v>67</v>
      </c>
      <c r="E74" t="s">
        <v>98</v>
      </c>
      <c r="F74">
        <v>30</v>
      </c>
      <c r="G74" s="2">
        <v>107</v>
      </c>
      <c r="H74" s="2">
        <v>3210</v>
      </c>
      <c r="I74" s="1">
        <v>0</v>
      </c>
      <c r="J74" s="2">
        <v>3210</v>
      </c>
      <c r="K74" s="1">
        <v>43879</v>
      </c>
      <c r="L74" s="1">
        <v>43879</v>
      </c>
      <c r="M74">
        <v>73</v>
      </c>
      <c r="N74">
        <v>1</v>
      </c>
      <c r="O74" t="s">
        <v>42</v>
      </c>
      <c r="P74" s="3">
        <v>7.0000000000000007E-2</v>
      </c>
      <c r="Q74" s="2">
        <v>224.70000000000002</v>
      </c>
      <c r="R74">
        <v>3</v>
      </c>
      <c r="S74" t="str">
        <f t="shared" si="1"/>
        <v>Fevereiro</v>
      </c>
    </row>
    <row r="75" spans="1:19" hidden="1" x14ac:dyDescent="0.3">
      <c r="A75">
        <v>74</v>
      </c>
      <c r="B75" s="1">
        <v>43871</v>
      </c>
      <c r="C75">
        <v>69</v>
      </c>
      <c r="D75" t="s">
        <v>54</v>
      </c>
      <c r="E75" t="s">
        <v>96</v>
      </c>
      <c r="F75">
        <v>23</v>
      </c>
      <c r="G75" s="2">
        <v>94</v>
      </c>
      <c r="H75" s="2">
        <v>2162</v>
      </c>
      <c r="I75" s="1">
        <v>0.12</v>
      </c>
      <c r="J75" s="2">
        <v>1902.56</v>
      </c>
      <c r="K75" s="1">
        <v>43885</v>
      </c>
      <c r="L75" s="1">
        <v>43885</v>
      </c>
      <c r="M75">
        <v>74</v>
      </c>
      <c r="N75">
        <v>3</v>
      </c>
      <c r="O75" t="s">
        <v>23</v>
      </c>
      <c r="P75" s="3">
        <v>0.06</v>
      </c>
      <c r="Q75" s="2">
        <v>114.1536</v>
      </c>
      <c r="R75">
        <v>4</v>
      </c>
      <c r="S75" t="str">
        <f t="shared" si="1"/>
        <v>Fevereiro</v>
      </c>
    </row>
    <row r="76" spans="1:19" hidden="1" x14ac:dyDescent="0.3">
      <c r="A76">
        <v>75</v>
      </c>
      <c r="B76" s="1">
        <v>43871</v>
      </c>
      <c r="C76">
        <v>19</v>
      </c>
      <c r="D76" t="s">
        <v>31</v>
      </c>
      <c r="E76" t="s">
        <v>104</v>
      </c>
      <c r="F76">
        <v>34</v>
      </c>
      <c r="G76" s="2">
        <v>104</v>
      </c>
      <c r="H76" s="2">
        <v>3536</v>
      </c>
      <c r="I76" s="1">
        <v>0.1</v>
      </c>
      <c r="J76" s="2">
        <v>3182.4</v>
      </c>
      <c r="K76" s="1">
        <v>43885</v>
      </c>
      <c r="L76" s="1">
        <v>43885</v>
      </c>
      <c r="M76">
        <v>75</v>
      </c>
      <c r="N76">
        <v>2</v>
      </c>
      <c r="O76" t="s">
        <v>38</v>
      </c>
      <c r="P76" s="3">
        <v>7.0000000000000007E-2</v>
      </c>
      <c r="Q76" s="2">
        <v>222.76800000000003</v>
      </c>
      <c r="R76">
        <v>5</v>
      </c>
      <c r="S76" t="str">
        <f t="shared" si="1"/>
        <v>Fevereiro</v>
      </c>
    </row>
    <row r="77" spans="1:19" x14ac:dyDescent="0.3">
      <c r="A77">
        <v>76</v>
      </c>
      <c r="B77" s="1">
        <v>43872</v>
      </c>
      <c r="C77">
        <v>87</v>
      </c>
      <c r="D77" t="s">
        <v>33</v>
      </c>
      <c r="E77" t="s">
        <v>102</v>
      </c>
      <c r="F77">
        <v>42</v>
      </c>
      <c r="G77" s="2">
        <v>106</v>
      </c>
      <c r="H77" s="2">
        <v>4452</v>
      </c>
      <c r="I77" s="1">
        <v>0.06</v>
      </c>
      <c r="J77" s="2">
        <v>4184.88</v>
      </c>
      <c r="K77" s="1">
        <v>43902</v>
      </c>
      <c r="L77" s="1">
        <v>43902</v>
      </c>
      <c r="M77">
        <v>76</v>
      </c>
      <c r="N77">
        <v>3</v>
      </c>
      <c r="O77" t="s">
        <v>35</v>
      </c>
      <c r="P77" s="3">
        <v>7.0000000000000007E-2</v>
      </c>
      <c r="Q77" s="2">
        <v>292.94160000000005</v>
      </c>
      <c r="R77">
        <v>6</v>
      </c>
      <c r="S77" t="str">
        <f t="shared" si="1"/>
        <v>Fevereiro</v>
      </c>
    </row>
    <row r="78" spans="1:19" hidden="1" x14ac:dyDescent="0.3">
      <c r="A78">
        <v>77</v>
      </c>
      <c r="B78" s="1">
        <v>43872</v>
      </c>
      <c r="C78">
        <v>33</v>
      </c>
      <c r="D78" t="s">
        <v>63</v>
      </c>
      <c r="E78" t="s">
        <v>98</v>
      </c>
      <c r="F78">
        <v>10</v>
      </c>
      <c r="G78" s="2">
        <v>91</v>
      </c>
      <c r="H78" s="2">
        <v>910</v>
      </c>
      <c r="I78" s="1">
        <v>0.1</v>
      </c>
      <c r="J78" s="2">
        <v>819</v>
      </c>
      <c r="K78" s="1">
        <v>43897</v>
      </c>
      <c r="L78" s="1">
        <v>43897</v>
      </c>
      <c r="M78">
        <v>77</v>
      </c>
      <c r="N78">
        <v>4</v>
      </c>
      <c r="O78" t="s">
        <v>42</v>
      </c>
      <c r="P78" s="3">
        <v>0.09</v>
      </c>
      <c r="Q78" s="2">
        <v>73.709999999999994</v>
      </c>
      <c r="R78">
        <v>7</v>
      </c>
      <c r="S78" t="str">
        <f t="shared" si="1"/>
        <v>Fevereiro</v>
      </c>
    </row>
    <row r="79" spans="1:19" hidden="1" x14ac:dyDescent="0.3">
      <c r="A79">
        <v>78</v>
      </c>
      <c r="B79" s="1">
        <v>43875</v>
      </c>
      <c r="C79">
        <v>9</v>
      </c>
      <c r="D79" t="s">
        <v>29</v>
      </c>
      <c r="E79" t="s">
        <v>104</v>
      </c>
      <c r="F79">
        <v>34</v>
      </c>
      <c r="G79" s="2">
        <v>99</v>
      </c>
      <c r="H79" s="2">
        <v>3366</v>
      </c>
      <c r="I79" s="1">
        <v>0.14000000000000001</v>
      </c>
      <c r="J79" s="2">
        <v>2894.7599999999998</v>
      </c>
      <c r="K79" s="1">
        <v>43886</v>
      </c>
      <c r="L79" s="1">
        <v>43886</v>
      </c>
      <c r="M79">
        <v>78</v>
      </c>
      <c r="N79">
        <v>1</v>
      </c>
      <c r="O79" t="s">
        <v>25</v>
      </c>
      <c r="P79" s="3">
        <v>7.0000000000000007E-2</v>
      </c>
      <c r="Q79" s="2">
        <v>202.63320000000002</v>
      </c>
      <c r="R79">
        <v>1</v>
      </c>
      <c r="S79" t="str">
        <f t="shared" si="1"/>
        <v>Fevereiro</v>
      </c>
    </row>
    <row r="80" spans="1:19" hidden="1" x14ac:dyDescent="0.3">
      <c r="A80">
        <v>79</v>
      </c>
      <c r="B80" s="1">
        <v>43876</v>
      </c>
      <c r="C80">
        <v>50</v>
      </c>
      <c r="D80" t="s">
        <v>68</v>
      </c>
      <c r="E80" t="s">
        <v>101</v>
      </c>
      <c r="F80">
        <v>13</v>
      </c>
      <c r="G80" s="2">
        <v>112</v>
      </c>
      <c r="H80" s="2">
        <v>1456</v>
      </c>
      <c r="I80" s="1">
        <v>0.05</v>
      </c>
      <c r="J80" s="2">
        <v>1383.2</v>
      </c>
      <c r="K80" s="1">
        <v>43892</v>
      </c>
      <c r="L80" s="1">
        <v>43892</v>
      </c>
      <c r="M80">
        <v>79</v>
      </c>
      <c r="N80">
        <v>2</v>
      </c>
      <c r="O80" t="s">
        <v>30</v>
      </c>
      <c r="P80" s="3">
        <v>0.06</v>
      </c>
      <c r="Q80" s="2">
        <v>82.992000000000004</v>
      </c>
      <c r="R80">
        <v>2</v>
      </c>
      <c r="S80" t="str">
        <f t="shared" si="1"/>
        <v>Fevereiro</v>
      </c>
    </row>
    <row r="81" spans="1:19" hidden="1" x14ac:dyDescent="0.3">
      <c r="A81">
        <v>80</v>
      </c>
      <c r="B81" s="1">
        <v>43877</v>
      </c>
      <c r="C81">
        <v>75</v>
      </c>
      <c r="D81" t="s">
        <v>31</v>
      </c>
      <c r="E81" t="s">
        <v>103</v>
      </c>
      <c r="F81">
        <v>36</v>
      </c>
      <c r="G81" s="2">
        <v>105</v>
      </c>
      <c r="H81" s="2">
        <v>3780</v>
      </c>
      <c r="I81" s="1">
        <v>0.04</v>
      </c>
      <c r="J81" s="2">
        <v>3628.8</v>
      </c>
      <c r="K81" s="1">
        <v>43901</v>
      </c>
      <c r="L81" s="1">
        <v>43901</v>
      </c>
      <c r="M81">
        <v>80</v>
      </c>
      <c r="N81">
        <v>1</v>
      </c>
      <c r="O81" t="s">
        <v>38</v>
      </c>
      <c r="P81" s="3">
        <v>0.05</v>
      </c>
      <c r="Q81" s="2">
        <v>181.44000000000003</v>
      </c>
      <c r="R81">
        <v>3</v>
      </c>
      <c r="S81" t="str">
        <f t="shared" si="1"/>
        <v>Fevereiro</v>
      </c>
    </row>
    <row r="82" spans="1:19" hidden="1" x14ac:dyDescent="0.3">
      <c r="A82">
        <v>81</v>
      </c>
      <c r="B82" s="1">
        <v>43877</v>
      </c>
      <c r="C82">
        <v>40</v>
      </c>
      <c r="D82" t="s">
        <v>40</v>
      </c>
      <c r="E82" t="s">
        <v>102</v>
      </c>
      <c r="F82">
        <v>17</v>
      </c>
      <c r="G82" s="2">
        <v>95</v>
      </c>
      <c r="H82" s="2">
        <v>1615</v>
      </c>
      <c r="I82" s="1">
        <v>0.1</v>
      </c>
      <c r="J82" s="2">
        <v>1453.5</v>
      </c>
      <c r="K82" s="1">
        <v>43884</v>
      </c>
      <c r="L82" s="1">
        <v>43884</v>
      </c>
      <c r="M82">
        <v>81</v>
      </c>
      <c r="N82">
        <v>1</v>
      </c>
      <c r="O82" t="s">
        <v>38</v>
      </c>
      <c r="P82" s="3">
        <v>0.08</v>
      </c>
      <c r="Q82" s="2">
        <v>116.28</v>
      </c>
      <c r="R82">
        <v>4</v>
      </c>
      <c r="S82" t="str">
        <f t="shared" si="1"/>
        <v>Fevereiro</v>
      </c>
    </row>
    <row r="83" spans="1:19" hidden="1" x14ac:dyDescent="0.3">
      <c r="A83">
        <v>82</v>
      </c>
      <c r="B83" s="1">
        <v>43877</v>
      </c>
      <c r="C83">
        <v>60</v>
      </c>
      <c r="D83" t="s">
        <v>69</v>
      </c>
      <c r="E83" t="s">
        <v>104</v>
      </c>
      <c r="F83">
        <v>44</v>
      </c>
      <c r="G83" s="2">
        <v>97</v>
      </c>
      <c r="H83" s="2">
        <v>4268</v>
      </c>
      <c r="I83" s="1">
        <v>0.08</v>
      </c>
      <c r="J83" s="2">
        <v>3926.56</v>
      </c>
      <c r="K83" s="1">
        <v>43907</v>
      </c>
      <c r="L83" s="1">
        <v>43907</v>
      </c>
      <c r="M83">
        <v>82</v>
      </c>
      <c r="N83">
        <v>1</v>
      </c>
      <c r="O83" t="s">
        <v>30</v>
      </c>
      <c r="P83" s="3">
        <v>0.1</v>
      </c>
      <c r="Q83" s="2">
        <v>392.65600000000001</v>
      </c>
      <c r="R83">
        <v>5</v>
      </c>
      <c r="S83" t="str">
        <f t="shared" si="1"/>
        <v>Fevereiro</v>
      </c>
    </row>
    <row r="84" spans="1:19" hidden="1" x14ac:dyDescent="0.3">
      <c r="A84">
        <v>83</v>
      </c>
      <c r="B84" s="1">
        <v>43879</v>
      </c>
      <c r="C84">
        <v>95</v>
      </c>
      <c r="D84" t="s">
        <v>31</v>
      </c>
      <c r="E84" t="s">
        <v>100</v>
      </c>
      <c r="F84">
        <v>35</v>
      </c>
      <c r="G84" s="2">
        <v>99</v>
      </c>
      <c r="H84" s="2">
        <v>3465</v>
      </c>
      <c r="I84" s="1">
        <v>0.15</v>
      </c>
      <c r="J84" s="2">
        <v>2945.25</v>
      </c>
      <c r="K84" s="1">
        <v>43909</v>
      </c>
      <c r="L84" s="1">
        <v>43909</v>
      </c>
      <c r="M84">
        <v>83</v>
      </c>
      <c r="N84">
        <v>6</v>
      </c>
      <c r="O84" t="s">
        <v>42</v>
      </c>
      <c r="P84" s="3">
        <v>0.08</v>
      </c>
      <c r="Q84" s="2">
        <v>235.62</v>
      </c>
      <c r="R84">
        <v>6</v>
      </c>
      <c r="S84" t="str">
        <f t="shared" si="1"/>
        <v>Fevereiro</v>
      </c>
    </row>
    <row r="85" spans="1:19" hidden="1" x14ac:dyDescent="0.3">
      <c r="A85">
        <v>84</v>
      </c>
      <c r="B85" s="1">
        <v>43879</v>
      </c>
      <c r="C85">
        <v>79</v>
      </c>
      <c r="D85" t="s">
        <v>26</v>
      </c>
      <c r="E85" t="s">
        <v>98</v>
      </c>
      <c r="F85">
        <v>11</v>
      </c>
      <c r="G85" s="2">
        <v>102</v>
      </c>
      <c r="H85" s="2">
        <v>1122</v>
      </c>
      <c r="I85" s="1">
        <v>0.13</v>
      </c>
      <c r="J85" s="2">
        <v>976.14</v>
      </c>
      <c r="K85" s="1">
        <v>43907</v>
      </c>
      <c r="L85" s="1">
        <v>43907</v>
      </c>
      <c r="M85">
        <v>84</v>
      </c>
      <c r="N85">
        <v>5</v>
      </c>
      <c r="O85" t="s">
        <v>25</v>
      </c>
      <c r="P85" s="3">
        <v>0.1</v>
      </c>
      <c r="Q85" s="2">
        <v>97.614000000000004</v>
      </c>
      <c r="R85">
        <v>7</v>
      </c>
      <c r="S85" t="str">
        <f t="shared" si="1"/>
        <v>Fevereiro</v>
      </c>
    </row>
    <row r="86" spans="1:19" hidden="1" x14ac:dyDescent="0.3">
      <c r="A86">
        <v>85</v>
      </c>
      <c r="B86" s="1">
        <v>43879</v>
      </c>
      <c r="C86">
        <v>60</v>
      </c>
      <c r="D86" t="s">
        <v>69</v>
      </c>
      <c r="E86" t="s">
        <v>95</v>
      </c>
      <c r="F86">
        <v>27</v>
      </c>
      <c r="G86" s="2">
        <v>103</v>
      </c>
      <c r="H86" s="2">
        <v>2781</v>
      </c>
      <c r="I86" s="1">
        <v>0.08</v>
      </c>
      <c r="J86" s="2">
        <v>2558.52</v>
      </c>
      <c r="K86" s="1">
        <v>43885</v>
      </c>
      <c r="L86" s="1">
        <v>43885</v>
      </c>
      <c r="M86">
        <v>85</v>
      </c>
      <c r="N86">
        <v>4</v>
      </c>
      <c r="O86" t="s">
        <v>27</v>
      </c>
      <c r="P86" s="3">
        <v>0.09</v>
      </c>
      <c r="Q86" s="2">
        <v>230.26679999999999</v>
      </c>
      <c r="R86">
        <v>1</v>
      </c>
      <c r="S86" t="str">
        <f t="shared" si="1"/>
        <v>Fevereiro</v>
      </c>
    </row>
    <row r="87" spans="1:19" hidden="1" x14ac:dyDescent="0.3">
      <c r="A87">
        <v>86</v>
      </c>
      <c r="B87" s="1">
        <v>43879</v>
      </c>
      <c r="C87">
        <v>47</v>
      </c>
      <c r="D87" t="s">
        <v>33</v>
      </c>
      <c r="E87" t="s">
        <v>103</v>
      </c>
      <c r="F87">
        <v>14</v>
      </c>
      <c r="G87" s="2">
        <v>94</v>
      </c>
      <c r="H87" s="2">
        <v>1316</v>
      </c>
      <c r="I87" s="1">
        <v>0.08</v>
      </c>
      <c r="J87" s="2">
        <v>1210.72</v>
      </c>
      <c r="K87" s="1">
        <v>43905</v>
      </c>
      <c r="L87" s="1">
        <v>43905</v>
      </c>
      <c r="M87">
        <v>86</v>
      </c>
      <c r="N87">
        <v>3</v>
      </c>
      <c r="O87" t="s">
        <v>20</v>
      </c>
      <c r="P87" s="3">
        <v>0.1</v>
      </c>
      <c r="Q87" s="2">
        <v>121.072</v>
      </c>
      <c r="R87">
        <v>2</v>
      </c>
      <c r="S87" t="str">
        <f t="shared" si="1"/>
        <v>Fevereiro</v>
      </c>
    </row>
    <row r="88" spans="1:19" hidden="1" x14ac:dyDescent="0.3">
      <c r="A88">
        <v>87</v>
      </c>
      <c r="B88" s="1">
        <v>43880</v>
      </c>
      <c r="C88">
        <v>38</v>
      </c>
      <c r="D88" t="s">
        <v>60</v>
      </c>
      <c r="E88" t="s">
        <v>103</v>
      </c>
      <c r="F88">
        <v>44</v>
      </c>
      <c r="G88" s="2">
        <v>118</v>
      </c>
      <c r="H88" s="2">
        <v>5192</v>
      </c>
      <c r="I88" s="1">
        <v>0.15</v>
      </c>
      <c r="J88" s="2">
        <v>4413.2</v>
      </c>
      <c r="K88" s="1">
        <v>43910</v>
      </c>
      <c r="L88" s="1">
        <v>43910</v>
      </c>
      <c r="M88">
        <v>87</v>
      </c>
      <c r="N88">
        <v>2</v>
      </c>
      <c r="O88" t="s">
        <v>23</v>
      </c>
      <c r="P88" s="3">
        <v>0.06</v>
      </c>
      <c r="Q88" s="2">
        <v>264.79199999999997</v>
      </c>
      <c r="R88">
        <v>3</v>
      </c>
      <c r="S88" t="str">
        <f t="shared" si="1"/>
        <v>Fevereiro</v>
      </c>
    </row>
    <row r="89" spans="1:19" hidden="1" x14ac:dyDescent="0.3">
      <c r="A89">
        <v>88</v>
      </c>
      <c r="B89" s="1">
        <v>43880</v>
      </c>
      <c r="C89">
        <v>47</v>
      </c>
      <c r="D89" t="s">
        <v>33</v>
      </c>
      <c r="E89" t="s">
        <v>99</v>
      </c>
      <c r="F89">
        <v>44</v>
      </c>
      <c r="G89" s="2">
        <v>111</v>
      </c>
      <c r="H89" s="2">
        <v>4884</v>
      </c>
      <c r="I89" s="1">
        <v>0.03</v>
      </c>
      <c r="J89" s="2">
        <v>4737.4799999999996</v>
      </c>
      <c r="K89" s="1">
        <v>43908</v>
      </c>
      <c r="L89" s="1">
        <v>43908</v>
      </c>
      <c r="M89">
        <v>88</v>
      </c>
      <c r="N89">
        <v>6</v>
      </c>
      <c r="O89" t="s">
        <v>42</v>
      </c>
      <c r="P89" s="3">
        <v>0.06</v>
      </c>
      <c r="Q89" s="2">
        <v>284.24879999999996</v>
      </c>
      <c r="R89">
        <v>4</v>
      </c>
      <c r="S89" t="str">
        <f t="shared" si="1"/>
        <v>Fevereiro</v>
      </c>
    </row>
    <row r="90" spans="1:19" hidden="1" x14ac:dyDescent="0.3">
      <c r="A90">
        <v>89</v>
      </c>
      <c r="B90" s="1">
        <v>43880</v>
      </c>
      <c r="C90">
        <v>18</v>
      </c>
      <c r="D90" t="s">
        <v>70</v>
      </c>
      <c r="E90" t="s">
        <v>97</v>
      </c>
      <c r="F90">
        <v>24</v>
      </c>
      <c r="G90" s="2">
        <v>116</v>
      </c>
      <c r="H90" s="2">
        <v>2784</v>
      </c>
      <c r="I90" s="1">
        <v>0.13</v>
      </c>
      <c r="J90" s="2">
        <v>2422.08</v>
      </c>
      <c r="K90" s="1">
        <v>43899</v>
      </c>
      <c r="L90" s="1">
        <v>43899</v>
      </c>
      <c r="M90">
        <v>89</v>
      </c>
      <c r="N90">
        <v>4</v>
      </c>
      <c r="O90" t="s">
        <v>27</v>
      </c>
      <c r="P90" s="3">
        <v>0.06</v>
      </c>
      <c r="Q90" s="2">
        <v>145.32479999999998</v>
      </c>
      <c r="R90">
        <v>5</v>
      </c>
      <c r="S90" t="str">
        <f t="shared" si="1"/>
        <v>Fevereiro</v>
      </c>
    </row>
    <row r="91" spans="1:19" hidden="1" x14ac:dyDescent="0.3">
      <c r="A91">
        <v>90</v>
      </c>
      <c r="B91" s="1">
        <v>43880</v>
      </c>
      <c r="C91">
        <v>99</v>
      </c>
      <c r="D91" t="s">
        <v>71</v>
      </c>
      <c r="E91" t="s">
        <v>100</v>
      </c>
      <c r="F91">
        <v>47</v>
      </c>
      <c r="G91" s="2">
        <v>105</v>
      </c>
      <c r="H91" s="2">
        <v>4935</v>
      </c>
      <c r="I91" s="1">
        <v>0.02</v>
      </c>
      <c r="J91" s="2">
        <v>4836.3</v>
      </c>
      <c r="K91" s="1">
        <v>43880</v>
      </c>
      <c r="L91" s="1">
        <v>43880</v>
      </c>
      <c r="M91">
        <v>90</v>
      </c>
      <c r="N91">
        <v>1</v>
      </c>
      <c r="O91" t="s">
        <v>56</v>
      </c>
      <c r="P91" s="3">
        <v>7.0000000000000007E-2</v>
      </c>
      <c r="Q91" s="2">
        <v>338.54100000000005</v>
      </c>
      <c r="R91">
        <v>6</v>
      </c>
      <c r="S91" t="str">
        <f t="shared" si="1"/>
        <v>Fevereiro</v>
      </c>
    </row>
    <row r="92" spans="1:19" hidden="1" x14ac:dyDescent="0.3">
      <c r="A92">
        <v>91</v>
      </c>
      <c r="B92" s="1">
        <v>43881</v>
      </c>
      <c r="C92">
        <v>31</v>
      </c>
      <c r="D92" t="s">
        <v>72</v>
      </c>
      <c r="E92" t="s">
        <v>98</v>
      </c>
      <c r="F92">
        <v>18</v>
      </c>
      <c r="G92" s="2">
        <v>100</v>
      </c>
      <c r="H92" s="2">
        <v>1800</v>
      </c>
      <c r="I92" s="1">
        <v>0.02</v>
      </c>
      <c r="J92" s="2">
        <v>1764</v>
      </c>
      <c r="K92" s="1">
        <v>43884</v>
      </c>
      <c r="L92" s="1">
        <v>43884</v>
      </c>
      <c r="M92">
        <v>91</v>
      </c>
      <c r="N92">
        <v>2</v>
      </c>
      <c r="O92" t="s">
        <v>18</v>
      </c>
      <c r="P92" s="3">
        <v>7.0000000000000007E-2</v>
      </c>
      <c r="Q92" s="2">
        <v>123.48000000000002</v>
      </c>
      <c r="R92">
        <v>7</v>
      </c>
      <c r="S92" t="str">
        <f t="shared" si="1"/>
        <v>Fevereiro</v>
      </c>
    </row>
    <row r="93" spans="1:19" hidden="1" x14ac:dyDescent="0.3">
      <c r="A93">
        <v>92</v>
      </c>
      <c r="B93" s="1">
        <v>43882</v>
      </c>
      <c r="C93">
        <v>61</v>
      </c>
      <c r="D93" t="s">
        <v>44</v>
      </c>
      <c r="E93" t="s">
        <v>103</v>
      </c>
      <c r="F93">
        <v>37</v>
      </c>
      <c r="G93" s="2">
        <v>96</v>
      </c>
      <c r="H93" s="2">
        <v>3552</v>
      </c>
      <c r="I93" s="1">
        <v>0.15</v>
      </c>
      <c r="J93" s="2">
        <v>3019.2</v>
      </c>
      <c r="K93" s="1">
        <v>43882</v>
      </c>
      <c r="L93" s="1">
        <v>43882</v>
      </c>
      <c r="M93">
        <v>92</v>
      </c>
      <c r="N93">
        <v>4</v>
      </c>
      <c r="O93" t="s">
        <v>18</v>
      </c>
      <c r="P93" s="3">
        <v>7.0000000000000007E-2</v>
      </c>
      <c r="Q93" s="2">
        <v>211.34399999999999</v>
      </c>
      <c r="R93">
        <v>1</v>
      </c>
      <c r="S93" t="str">
        <f t="shared" si="1"/>
        <v>Fevereiro</v>
      </c>
    </row>
    <row r="94" spans="1:19" hidden="1" x14ac:dyDescent="0.3">
      <c r="A94">
        <v>93</v>
      </c>
      <c r="B94" s="1">
        <v>43883</v>
      </c>
      <c r="C94">
        <v>52</v>
      </c>
      <c r="D94" t="s">
        <v>19</v>
      </c>
      <c r="E94" t="s">
        <v>95</v>
      </c>
      <c r="F94">
        <v>34</v>
      </c>
      <c r="G94" s="2">
        <v>112</v>
      </c>
      <c r="H94" s="2">
        <v>3808</v>
      </c>
      <c r="I94" s="1">
        <v>0.08</v>
      </c>
      <c r="J94" s="2">
        <v>3503.36</v>
      </c>
      <c r="K94" s="1">
        <v>43904</v>
      </c>
      <c r="L94" s="1">
        <v>43904</v>
      </c>
      <c r="M94">
        <v>93</v>
      </c>
      <c r="N94">
        <v>3</v>
      </c>
      <c r="O94" t="s">
        <v>42</v>
      </c>
      <c r="P94" s="3">
        <v>0.06</v>
      </c>
      <c r="Q94" s="2">
        <v>210.20160000000001</v>
      </c>
      <c r="R94">
        <v>2</v>
      </c>
      <c r="S94" t="str">
        <f t="shared" si="1"/>
        <v>Fevereiro</v>
      </c>
    </row>
    <row r="95" spans="1:19" hidden="1" x14ac:dyDescent="0.3">
      <c r="A95">
        <v>94</v>
      </c>
      <c r="B95" s="1">
        <v>43883</v>
      </c>
      <c r="C95">
        <v>41</v>
      </c>
      <c r="D95" t="s">
        <v>55</v>
      </c>
      <c r="E95" t="s">
        <v>104</v>
      </c>
      <c r="F95">
        <v>41</v>
      </c>
      <c r="G95" s="2">
        <v>107</v>
      </c>
      <c r="H95" s="2">
        <v>4387</v>
      </c>
      <c r="I95" s="1">
        <v>7.0000000000000007E-2</v>
      </c>
      <c r="J95" s="2">
        <v>4079.91</v>
      </c>
      <c r="K95" s="1">
        <v>43890</v>
      </c>
      <c r="L95" s="1">
        <v>43890</v>
      </c>
      <c r="M95">
        <v>94</v>
      </c>
      <c r="N95">
        <v>5</v>
      </c>
      <c r="O95" t="s">
        <v>38</v>
      </c>
      <c r="P95" s="3">
        <v>0.05</v>
      </c>
      <c r="Q95" s="2">
        <v>203.99549999999999</v>
      </c>
      <c r="R95">
        <v>3</v>
      </c>
      <c r="S95" t="str">
        <f t="shared" si="1"/>
        <v>Fevereiro</v>
      </c>
    </row>
    <row r="96" spans="1:19" hidden="1" x14ac:dyDescent="0.3">
      <c r="A96">
        <v>95</v>
      </c>
      <c r="B96" s="1">
        <v>43883</v>
      </c>
      <c r="C96">
        <v>35</v>
      </c>
      <c r="D96" t="s">
        <v>31</v>
      </c>
      <c r="E96" t="s">
        <v>95</v>
      </c>
      <c r="F96">
        <v>32</v>
      </c>
      <c r="G96" s="2">
        <v>118</v>
      </c>
      <c r="H96" s="2">
        <v>3776</v>
      </c>
      <c r="I96" s="1">
        <v>0.01</v>
      </c>
      <c r="J96" s="2">
        <v>3738.24</v>
      </c>
      <c r="K96" s="1">
        <v>43895</v>
      </c>
      <c r="L96" s="1">
        <v>43895</v>
      </c>
      <c r="M96">
        <v>95</v>
      </c>
      <c r="N96">
        <v>6</v>
      </c>
      <c r="O96" t="s">
        <v>20</v>
      </c>
      <c r="P96" s="3">
        <v>0.1</v>
      </c>
      <c r="Q96" s="2">
        <v>373.82400000000001</v>
      </c>
      <c r="R96">
        <v>4</v>
      </c>
      <c r="S96" t="str">
        <f t="shared" si="1"/>
        <v>Fevereiro</v>
      </c>
    </row>
    <row r="97" spans="1:19" hidden="1" x14ac:dyDescent="0.3">
      <c r="A97">
        <v>96</v>
      </c>
      <c r="B97" s="1">
        <v>43884</v>
      </c>
      <c r="C97">
        <v>89</v>
      </c>
      <c r="D97" t="s">
        <v>40</v>
      </c>
      <c r="E97" t="s">
        <v>95</v>
      </c>
      <c r="F97">
        <v>44</v>
      </c>
      <c r="G97" s="2">
        <v>96</v>
      </c>
      <c r="H97" s="2">
        <v>4224</v>
      </c>
      <c r="I97" s="1">
        <v>0.13</v>
      </c>
      <c r="J97" s="2">
        <v>3674.88</v>
      </c>
      <c r="K97" s="1">
        <v>43885</v>
      </c>
      <c r="L97" s="1">
        <v>43885</v>
      </c>
      <c r="M97">
        <v>96</v>
      </c>
      <c r="N97">
        <v>6</v>
      </c>
      <c r="O97" t="s">
        <v>42</v>
      </c>
      <c r="P97" s="3">
        <v>0.06</v>
      </c>
      <c r="Q97" s="2">
        <v>220.49279999999999</v>
      </c>
      <c r="R97">
        <v>5</v>
      </c>
      <c r="S97" t="str">
        <f t="shared" si="1"/>
        <v>Fevereiro</v>
      </c>
    </row>
    <row r="98" spans="1:19" hidden="1" x14ac:dyDescent="0.3">
      <c r="A98">
        <v>97</v>
      </c>
      <c r="B98" s="1">
        <v>43884</v>
      </c>
      <c r="C98">
        <v>8</v>
      </c>
      <c r="D98" t="s">
        <v>31</v>
      </c>
      <c r="E98" t="s">
        <v>96</v>
      </c>
      <c r="F98">
        <v>35</v>
      </c>
      <c r="G98" s="2">
        <v>90</v>
      </c>
      <c r="H98" s="2">
        <v>3150</v>
      </c>
      <c r="I98" s="1">
        <v>0.02</v>
      </c>
      <c r="J98" s="2">
        <v>3087</v>
      </c>
      <c r="K98" s="1">
        <v>43914</v>
      </c>
      <c r="L98" s="1">
        <v>43914</v>
      </c>
      <c r="M98">
        <v>97</v>
      </c>
      <c r="N98">
        <v>6</v>
      </c>
      <c r="O98" t="s">
        <v>18</v>
      </c>
      <c r="P98" s="3">
        <v>0.05</v>
      </c>
      <c r="Q98" s="2">
        <v>154.35000000000002</v>
      </c>
      <c r="R98">
        <v>6</v>
      </c>
      <c r="S98" t="str">
        <f t="shared" si="1"/>
        <v>Fevereiro</v>
      </c>
    </row>
    <row r="99" spans="1:19" hidden="1" x14ac:dyDescent="0.3">
      <c r="A99">
        <v>98</v>
      </c>
      <c r="B99" s="1">
        <v>43884</v>
      </c>
      <c r="C99">
        <v>28</v>
      </c>
      <c r="D99" t="s">
        <v>73</v>
      </c>
      <c r="E99" t="s">
        <v>95</v>
      </c>
      <c r="F99">
        <v>14</v>
      </c>
      <c r="G99" s="2">
        <v>112</v>
      </c>
      <c r="H99" s="2">
        <v>1568</v>
      </c>
      <c r="I99" s="1">
        <v>0.14000000000000001</v>
      </c>
      <c r="J99" s="2">
        <v>1348.48</v>
      </c>
      <c r="K99" s="1">
        <v>43888</v>
      </c>
      <c r="L99" s="1">
        <v>43888</v>
      </c>
      <c r="M99">
        <v>98</v>
      </c>
      <c r="N99">
        <v>6</v>
      </c>
      <c r="O99" t="s">
        <v>38</v>
      </c>
      <c r="P99" s="3">
        <v>0.05</v>
      </c>
      <c r="Q99" s="2">
        <v>67.424000000000007</v>
      </c>
      <c r="R99">
        <v>7</v>
      </c>
      <c r="S99" t="str">
        <f t="shared" si="1"/>
        <v>Fevereiro</v>
      </c>
    </row>
    <row r="100" spans="1:19" x14ac:dyDescent="0.3">
      <c r="A100">
        <v>99</v>
      </c>
      <c r="B100" s="1">
        <v>43884</v>
      </c>
      <c r="C100">
        <v>31</v>
      </c>
      <c r="D100" t="s">
        <v>72</v>
      </c>
      <c r="E100" t="s">
        <v>103</v>
      </c>
      <c r="F100">
        <v>13</v>
      </c>
      <c r="G100" s="2">
        <v>111</v>
      </c>
      <c r="H100" s="2">
        <v>1443</v>
      </c>
      <c r="I100" s="1">
        <v>0.02</v>
      </c>
      <c r="J100" s="2">
        <v>1414.14</v>
      </c>
      <c r="K100" s="1">
        <v>43886</v>
      </c>
      <c r="L100" s="1">
        <v>43886</v>
      </c>
      <c r="M100">
        <v>99</v>
      </c>
      <c r="N100">
        <v>1</v>
      </c>
      <c r="O100" t="s">
        <v>35</v>
      </c>
      <c r="P100" s="3">
        <v>0.06</v>
      </c>
      <c r="Q100" s="2">
        <v>84.848399999999998</v>
      </c>
      <c r="R100">
        <v>1</v>
      </c>
      <c r="S100" t="str">
        <f t="shared" si="1"/>
        <v>Fevereiro</v>
      </c>
    </row>
    <row r="101" spans="1:19" hidden="1" x14ac:dyDescent="0.3">
      <c r="A101">
        <v>100</v>
      </c>
      <c r="B101" s="1">
        <v>43885</v>
      </c>
      <c r="C101">
        <v>25</v>
      </c>
      <c r="D101" t="s">
        <v>50</v>
      </c>
      <c r="E101" t="s">
        <v>99</v>
      </c>
      <c r="F101">
        <v>20</v>
      </c>
      <c r="G101" s="2">
        <v>116</v>
      </c>
      <c r="H101" s="2">
        <v>2320</v>
      </c>
      <c r="I101" s="1">
        <v>0.1</v>
      </c>
      <c r="J101" s="2">
        <v>2088</v>
      </c>
      <c r="K101" s="1">
        <v>43886</v>
      </c>
      <c r="L101" s="1">
        <v>43886</v>
      </c>
      <c r="M101">
        <v>100</v>
      </c>
      <c r="N101">
        <v>2</v>
      </c>
      <c r="O101" t="s">
        <v>42</v>
      </c>
      <c r="P101" s="3">
        <v>0.1</v>
      </c>
      <c r="Q101" s="2">
        <v>208.8</v>
      </c>
      <c r="R101">
        <v>2</v>
      </c>
      <c r="S101" t="str">
        <f t="shared" si="1"/>
        <v>Fevereiro</v>
      </c>
    </row>
    <row r="102" spans="1:19" hidden="1" x14ac:dyDescent="0.3">
      <c r="A102">
        <v>101</v>
      </c>
      <c r="B102" s="1">
        <v>43886</v>
      </c>
      <c r="C102">
        <v>85</v>
      </c>
      <c r="D102" t="s">
        <v>45</v>
      </c>
      <c r="E102" t="s">
        <v>102</v>
      </c>
      <c r="F102">
        <v>27</v>
      </c>
      <c r="G102" s="2">
        <v>119</v>
      </c>
      <c r="H102" s="2">
        <v>3213</v>
      </c>
      <c r="I102" s="1">
        <v>0.1</v>
      </c>
      <c r="J102" s="2">
        <v>2891.7</v>
      </c>
      <c r="K102" s="1">
        <v>43916</v>
      </c>
      <c r="L102" s="1">
        <v>43916</v>
      </c>
      <c r="M102">
        <v>101</v>
      </c>
      <c r="N102">
        <v>4</v>
      </c>
      <c r="O102" t="s">
        <v>20</v>
      </c>
      <c r="P102" s="3">
        <v>0.06</v>
      </c>
      <c r="Q102" s="2">
        <v>173.50199999999998</v>
      </c>
      <c r="R102">
        <v>3</v>
      </c>
      <c r="S102" t="str">
        <f t="shared" si="1"/>
        <v>Fevereiro</v>
      </c>
    </row>
    <row r="103" spans="1:19" x14ac:dyDescent="0.3">
      <c r="A103">
        <v>102</v>
      </c>
      <c r="B103" s="1">
        <v>43886</v>
      </c>
      <c r="C103">
        <v>8</v>
      </c>
      <c r="D103" t="s">
        <v>31</v>
      </c>
      <c r="E103" t="s">
        <v>96</v>
      </c>
      <c r="F103">
        <v>10</v>
      </c>
      <c r="G103" s="2">
        <v>111</v>
      </c>
      <c r="H103" s="2">
        <v>1110</v>
      </c>
      <c r="I103" s="1">
        <v>0.11</v>
      </c>
      <c r="J103" s="2">
        <v>987.9</v>
      </c>
      <c r="K103" s="1">
        <v>43906</v>
      </c>
      <c r="L103" s="1">
        <v>43906</v>
      </c>
      <c r="M103">
        <v>102</v>
      </c>
      <c r="N103">
        <v>1</v>
      </c>
      <c r="O103" t="s">
        <v>35</v>
      </c>
      <c r="P103" s="3">
        <v>0.08</v>
      </c>
      <c r="Q103" s="2">
        <v>79.031999999999996</v>
      </c>
      <c r="R103">
        <v>4</v>
      </c>
      <c r="S103" t="str">
        <f t="shared" si="1"/>
        <v>Fevereiro</v>
      </c>
    </row>
    <row r="104" spans="1:19" x14ac:dyDescent="0.3">
      <c r="A104">
        <v>103</v>
      </c>
      <c r="B104" s="1">
        <v>43887</v>
      </c>
      <c r="C104">
        <v>21</v>
      </c>
      <c r="D104" t="s">
        <v>74</v>
      </c>
      <c r="E104" t="s">
        <v>99</v>
      </c>
      <c r="F104">
        <v>13</v>
      </c>
      <c r="G104" s="2">
        <v>112</v>
      </c>
      <c r="H104" s="2">
        <v>1456</v>
      </c>
      <c r="I104" s="1">
        <v>0.15</v>
      </c>
      <c r="J104" s="2">
        <v>1237.5999999999999</v>
      </c>
      <c r="K104" s="1">
        <v>43906</v>
      </c>
      <c r="L104" s="1">
        <v>43906</v>
      </c>
      <c r="M104">
        <v>103</v>
      </c>
      <c r="N104">
        <v>3</v>
      </c>
      <c r="O104" t="s">
        <v>35</v>
      </c>
      <c r="P104" s="3">
        <v>0.08</v>
      </c>
      <c r="Q104" s="2">
        <v>99.007999999999996</v>
      </c>
      <c r="R104">
        <v>5</v>
      </c>
      <c r="S104" t="str">
        <f t="shared" si="1"/>
        <v>Fevereiro</v>
      </c>
    </row>
    <row r="105" spans="1:19" hidden="1" x14ac:dyDescent="0.3">
      <c r="A105">
        <v>104</v>
      </c>
      <c r="B105" s="1">
        <v>43888</v>
      </c>
      <c r="C105">
        <v>34</v>
      </c>
      <c r="D105" t="s">
        <v>46</v>
      </c>
      <c r="E105" t="s">
        <v>97</v>
      </c>
      <c r="F105">
        <v>17</v>
      </c>
      <c r="G105" s="2">
        <v>96</v>
      </c>
      <c r="H105" s="2">
        <v>1632</v>
      </c>
      <c r="I105" s="1">
        <v>7.0000000000000007E-2</v>
      </c>
      <c r="J105" s="2">
        <v>1517.76</v>
      </c>
      <c r="K105" s="1">
        <v>43891</v>
      </c>
      <c r="L105" s="1">
        <v>43891</v>
      </c>
      <c r="M105">
        <v>104</v>
      </c>
      <c r="N105">
        <v>4</v>
      </c>
      <c r="O105" t="s">
        <v>20</v>
      </c>
      <c r="P105" s="3">
        <v>7.0000000000000007E-2</v>
      </c>
      <c r="Q105" s="2">
        <v>106.24320000000002</v>
      </c>
      <c r="R105">
        <v>6</v>
      </c>
      <c r="S105" t="str">
        <f t="shared" si="1"/>
        <v>Fevereiro</v>
      </c>
    </row>
    <row r="106" spans="1:19" hidden="1" x14ac:dyDescent="0.3">
      <c r="A106">
        <v>105</v>
      </c>
      <c r="B106" s="1">
        <v>43888</v>
      </c>
      <c r="C106">
        <v>53</v>
      </c>
      <c r="D106" t="s">
        <v>75</v>
      </c>
      <c r="E106" t="s">
        <v>100</v>
      </c>
      <c r="F106">
        <v>29</v>
      </c>
      <c r="G106" s="2">
        <v>102</v>
      </c>
      <c r="H106" s="2">
        <v>2958</v>
      </c>
      <c r="I106" s="1">
        <v>0.13</v>
      </c>
      <c r="J106" s="2">
        <v>2573.46</v>
      </c>
      <c r="K106" s="1">
        <v>43911</v>
      </c>
      <c r="L106" s="1">
        <v>43911</v>
      </c>
      <c r="M106">
        <v>105</v>
      </c>
      <c r="N106">
        <v>7</v>
      </c>
      <c r="O106" t="s">
        <v>38</v>
      </c>
      <c r="P106" s="3">
        <v>0.05</v>
      </c>
      <c r="Q106" s="2">
        <v>128.673</v>
      </c>
      <c r="R106">
        <v>7</v>
      </c>
      <c r="S106" t="str">
        <f t="shared" si="1"/>
        <v>Fevereiro</v>
      </c>
    </row>
    <row r="107" spans="1:19" hidden="1" x14ac:dyDescent="0.3">
      <c r="A107">
        <v>106</v>
      </c>
      <c r="B107" s="1">
        <v>43891</v>
      </c>
      <c r="C107">
        <v>10</v>
      </c>
      <c r="D107" t="s">
        <v>76</v>
      </c>
      <c r="E107" t="s">
        <v>102</v>
      </c>
      <c r="F107">
        <v>10</v>
      </c>
      <c r="G107" s="2">
        <v>98</v>
      </c>
      <c r="H107" s="2">
        <v>980</v>
      </c>
      <c r="I107" s="1">
        <v>7.0000000000000007E-2</v>
      </c>
      <c r="J107" s="2">
        <v>911.4</v>
      </c>
      <c r="K107" s="1">
        <v>43899</v>
      </c>
      <c r="L107" s="1">
        <v>43899</v>
      </c>
      <c r="M107">
        <v>106</v>
      </c>
      <c r="N107">
        <v>1</v>
      </c>
      <c r="O107" t="s">
        <v>18</v>
      </c>
      <c r="P107" s="3">
        <v>0.1</v>
      </c>
      <c r="Q107" s="2">
        <v>91.14</v>
      </c>
      <c r="R107">
        <v>1</v>
      </c>
      <c r="S107" t="str">
        <f t="shared" si="1"/>
        <v>Março</v>
      </c>
    </row>
    <row r="108" spans="1:19" hidden="1" x14ac:dyDescent="0.3">
      <c r="A108">
        <v>107</v>
      </c>
      <c r="B108" s="1">
        <v>43892</v>
      </c>
      <c r="C108">
        <v>70</v>
      </c>
      <c r="D108" t="s">
        <v>54</v>
      </c>
      <c r="E108" t="s">
        <v>96</v>
      </c>
      <c r="F108">
        <v>20</v>
      </c>
      <c r="G108" s="2">
        <v>119</v>
      </c>
      <c r="H108" s="2">
        <v>2380</v>
      </c>
      <c r="I108" s="1">
        <v>0.05</v>
      </c>
      <c r="J108" s="2">
        <v>2261</v>
      </c>
      <c r="K108" s="1">
        <v>43914</v>
      </c>
      <c r="L108" s="1">
        <v>43914</v>
      </c>
      <c r="M108">
        <v>107</v>
      </c>
      <c r="N108">
        <v>3</v>
      </c>
      <c r="O108" t="s">
        <v>56</v>
      </c>
      <c r="P108" s="3">
        <v>0.09</v>
      </c>
      <c r="Q108" s="2">
        <v>203.48999999999998</v>
      </c>
      <c r="R108">
        <v>2</v>
      </c>
      <c r="S108" t="str">
        <f t="shared" si="1"/>
        <v>Março</v>
      </c>
    </row>
    <row r="109" spans="1:19" x14ac:dyDescent="0.3">
      <c r="A109">
        <v>108</v>
      </c>
      <c r="B109" s="1">
        <v>43893</v>
      </c>
      <c r="C109">
        <v>95</v>
      </c>
      <c r="D109" t="s">
        <v>31</v>
      </c>
      <c r="E109" t="s">
        <v>104</v>
      </c>
      <c r="F109">
        <v>31</v>
      </c>
      <c r="G109" s="2">
        <v>115</v>
      </c>
      <c r="H109" s="2">
        <v>3565</v>
      </c>
      <c r="I109" s="1">
        <v>0.09</v>
      </c>
      <c r="J109" s="2">
        <v>3244.15</v>
      </c>
      <c r="K109" s="1">
        <v>43909</v>
      </c>
      <c r="L109" s="1">
        <v>43909</v>
      </c>
      <c r="M109">
        <v>108</v>
      </c>
      <c r="N109">
        <v>4</v>
      </c>
      <c r="O109" t="s">
        <v>35</v>
      </c>
      <c r="P109" s="3">
        <v>0.06</v>
      </c>
      <c r="Q109" s="2">
        <v>194.649</v>
      </c>
      <c r="R109">
        <v>3</v>
      </c>
      <c r="S109" t="str">
        <f t="shared" si="1"/>
        <v>Março</v>
      </c>
    </row>
    <row r="110" spans="1:19" hidden="1" x14ac:dyDescent="0.3">
      <c r="A110">
        <v>109</v>
      </c>
      <c r="B110" s="1">
        <v>43894</v>
      </c>
      <c r="C110">
        <v>69</v>
      </c>
      <c r="D110" t="s">
        <v>54</v>
      </c>
      <c r="E110" t="s">
        <v>104</v>
      </c>
      <c r="F110">
        <v>35</v>
      </c>
      <c r="G110" s="2">
        <v>116</v>
      </c>
      <c r="H110" s="2">
        <v>4060</v>
      </c>
      <c r="I110" s="1">
        <v>0.14000000000000001</v>
      </c>
      <c r="J110" s="2">
        <v>3491.6</v>
      </c>
      <c r="K110" s="1">
        <v>43917</v>
      </c>
      <c r="L110" s="1">
        <v>43917</v>
      </c>
      <c r="M110">
        <v>109</v>
      </c>
      <c r="N110">
        <v>1</v>
      </c>
      <c r="O110" t="s">
        <v>20</v>
      </c>
      <c r="P110" s="3">
        <v>0.06</v>
      </c>
      <c r="Q110" s="2">
        <v>209.49599999999998</v>
      </c>
      <c r="R110">
        <v>4</v>
      </c>
      <c r="S110" t="str">
        <f t="shared" si="1"/>
        <v>Março</v>
      </c>
    </row>
    <row r="111" spans="1:19" x14ac:dyDescent="0.3">
      <c r="A111">
        <v>110</v>
      </c>
      <c r="B111" s="1">
        <v>43894</v>
      </c>
      <c r="C111">
        <v>18</v>
      </c>
      <c r="D111" t="s">
        <v>70</v>
      </c>
      <c r="E111" t="s">
        <v>97</v>
      </c>
      <c r="F111">
        <v>33</v>
      </c>
      <c r="G111" s="2">
        <v>105</v>
      </c>
      <c r="H111" s="2">
        <v>3465</v>
      </c>
      <c r="I111" s="1">
        <v>0.03</v>
      </c>
      <c r="J111" s="2">
        <v>3361.05</v>
      </c>
      <c r="K111" s="1">
        <v>43924</v>
      </c>
      <c r="L111" s="1">
        <v>43924</v>
      </c>
      <c r="M111">
        <v>110</v>
      </c>
      <c r="N111">
        <v>3</v>
      </c>
      <c r="O111" t="s">
        <v>35</v>
      </c>
      <c r="P111" s="3">
        <v>0.09</v>
      </c>
      <c r="Q111" s="2">
        <v>302.49450000000002</v>
      </c>
      <c r="R111">
        <v>5</v>
      </c>
      <c r="S111" t="str">
        <f t="shared" si="1"/>
        <v>Março</v>
      </c>
    </row>
    <row r="112" spans="1:19" hidden="1" x14ac:dyDescent="0.3">
      <c r="A112">
        <v>111</v>
      </c>
      <c r="B112" s="1">
        <v>43894</v>
      </c>
      <c r="C112">
        <v>86</v>
      </c>
      <c r="D112" t="s">
        <v>77</v>
      </c>
      <c r="E112" t="s">
        <v>95</v>
      </c>
      <c r="F112">
        <v>50</v>
      </c>
      <c r="G112" s="2">
        <v>103</v>
      </c>
      <c r="H112" s="2">
        <v>5150</v>
      </c>
      <c r="I112" s="1">
        <v>0.11</v>
      </c>
      <c r="J112" s="2">
        <v>4583.5</v>
      </c>
      <c r="K112" s="1">
        <v>43915</v>
      </c>
      <c r="L112" s="1">
        <v>43915</v>
      </c>
      <c r="M112">
        <v>111</v>
      </c>
      <c r="N112">
        <v>2</v>
      </c>
      <c r="O112" t="s">
        <v>38</v>
      </c>
      <c r="P112" s="3">
        <v>0.1</v>
      </c>
      <c r="Q112" s="2">
        <v>458.35</v>
      </c>
      <c r="R112">
        <v>6</v>
      </c>
      <c r="S112" t="str">
        <f t="shared" si="1"/>
        <v>Março</v>
      </c>
    </row>
    <row r="113" spans="1:19" hidden="1" x14ac:dyDescent="0.3">
      <c r="A113">
        <v>112</v>
      </c>
      <c r="B113" s="1">
        <v>43895</v>
      </c>
      <c r="C113">
        <v>18</v>
      </c>
      <c r="D113" t="s">
        <v>70</v>
      </c>
      <c r="E113" t="s">
        <v>98</v>
      </c>
      <c r="F113">
        <v>42</v>
      </c>
      <c r="G113" s="2">
        <v>98</v>
      </c>
      <c r="H113" s="2">
        <v>4116</v>
      </c>
      <c r="I113" s="1">
        <v>0.11</v>
      </c>
      <c r="J113" s="2">
        <v>3663.24</v>
      </c>
      <c r="K113" s="1">
        <v>43900</v>
      </c>
      <c r="L113" s="1">
        <v>43900</v>
      </c>
      <c r="M113">
        <v>112</v>
      </c>
      <c r="N113">
        <v>5</v>
      </c>
      <c r="O113" t="s">
        <v>20</v>
      </c>
      <c r="P113" s="3">
        <v>0.09</v>
      </c>
      <c r="Q113" s="2">
        <v>329.69159999999999</v>
      </c>
      <c r="R113">
        <v>7</v>
      </c>
      <c r="S113" t="str">
        <f t="shared" si="1"/>
        <v>Março</v>
      </c>
    </row>
    <row r="114" spans="1:19" hidden="1" x14ac:dyDescent="0.3">
      <c r="A114">
        <v>113</v>
      </c>
      <c r="B114" s="1">
        <v>43895</v>
      </c>
      <c r="C114">
        <v>41</v>
      </c>
      <c r="D114" t="s">
        <v>55</v>
      </c>
      <c r="E114" t="s">
        <v>101</v>
      </c>
      <c r="F114">
        <v>49</v>
      </c>
      <c r="G114" s="2">
        <v>102</v>
      </c>
      <c r="H114" s="2">
        <v>4998</v>
      </c>
      <c r="I114" s="1">
        <v>0.09</v>
      </c>
      <c r="J114" s="2">
        <v>4548.18</v>
      </c>
      <c r="K114" s="1">
        <v>43905</v>
      </c>
      <c r="L114" s="1">
        <v>43905</v>
      </c>
      <c r="M114">
        <v>113</v>
      </c>
      <c r="N114">
        <v>4</v>
      </c>
      <c r="O114" t="s">
        <v>30</v>
      </c>
      <c r="P114" s="3">
        <v>0.06</v>
      </c>
      <c r="Q114" s="2">
        <v>272.89080000000001</v>
      </c>
      <c r="R114">
        <v>1</v>
      </c>
      <c r="S114" t="str">
        <f t="shared" si="1"/>
        <v>Março</v>
      </c>
    </row>
    <row r="115" spans="1:19" hidden="1" x14ac:dyDescent="0.3">
      <c r="A115">
        <v>114</v>
      </c>
      <c r="B115" s="1">
        <v>43895</v>
      </c>
      <c r="C115">
        <v>3</v>
      </c>
      <c r="D115" t="s">
        <v>78</v>
      </c>
      <c r="E115" t="s">
        <v>98</v>
      </c>
      <c r="F115">
        <v>11</v>
      </c>
      <c r="G115" s="2">
        <v>109</v>
      </c>
      <c r="H115" s="2">
        <v>1199</v>
      </c>
      <c r="I115" s="1">
        <v>0.02</v>
      </c>
      <c r="J115" s="2">
        <v>1175.02</v>
      </c>
      <c r="K115" s="1">
        <v>43907</v>
      </c>
      <c r="L115" s="1">
        <v>43907</v>
      </c>
      <c r="M115">
        <v>114</v>
      </c>
      <c r="N115">
        <v>5</v>
      </c>
      <c r="O115" t="s">
        <v>23</v>
      </c>
      <c r="P115" s="3">
        <v>7.0000000000000007E-2</v>
      </c>
      <c r="Q115" s="2">
        <v>82.251400000000004</v>
      </c>
      <c r="R115">
        <v>2</v>
      </c>
      <c r="S115" t="str">
        <f t="shared" si="1"/>
        <v>Março</v>
      </c>
    </row>
    <row r="116" spans="1:19" x14ac:dyDescent="0.3">
      <c r="A116">
        <v>115</v>
      </c>
      <c r="B116" s="1">
        <v>43896</v>
      </c>
      <c r="C116">
        <v>56</v>
      </c>
      <c r="D116" t="s">
        <v>54</v>
      </c>
      <c r="E116" t="s">
        <v>104</v>
      </c>
      <c r="F116">
        <v>50</v>
      </c>
      <c r="G116" s="2">
        <v>98</v>
      </c>
      <c r="H116" s="2">
        <v>4900</v>
      </c>
      <c r="I116" s="1">
        <v>0.04</v>
      </c>
      <c r="J116" s="2">
        <v>4704</v>
      </c>
      <c r="K116" s="1">
        <v>43916</v>
      </c>
      <c r="L116" s="1">
        <v>43916</v>
      </c>
      <c r="M116">
        <v>115</v>
      </c>
      <c r="N116">
        <v>2</v>
      </c>
      <c r="O116" t="s">
        <v>35</v>
      </c>
      <c r="P116" s="3">
        <v>0.08</v>
      </c>
      <c r="Q116" s="2">
        <v>376.32</v>
      </c>
      <c r="R116">
        <v>3</v>
      </c>
      <c r="S116" t="str">
        <f t="shared" si="1"/>
        <v>Março</v>
      </c>
    </row>
    <row r="117" spans="1:19" hidden="1" x14ac:dyDescent="0.3">
      <c r="A117">
        <v>116</v>
      </c>
      <c r="B117" s="1">
        <v>43896</v>
      </c>
      <c r="C117">
        <v>42</v>
      </c>
      <c r="D117" t="s">
        <v>79</v>
      </c>
      <c r="E117" t="s">
        <v>104</v>
      </c>
      <c r="F117">
        <v>50</v>
      </c>
      <c r="G117" s="2">
        <v>99</v>
      </c>
      <c r="H117" s="2">
        <v>4950</v>
      </c>
      <c r="I117" s="1">
        <v>0.08</v>
      </c>
      <c r="J117" s="2">
        <v>4554</v>
      </c>
      <c r="K117" s="1">
        <v>43918</v>
      </c>
      <c r="L117" s="1">
        <v>43918</v>
      </c>
      <c r="M117">
        <v>116</v>
      </c>
      <c r="N117">
        <v>4</v>
      </c>
      <c r="O117" t="s">
        <v>20</v>
      </c>
      <c r="P117" s="3">
        <v>0.09</v>
      </c>
      <c r="Q117" s="2">
        <v>409.85999999999996</v>
      </c>
      <c r="R117">
        <v>4</v>
      </c>
      <c r="S117" t="str">
        <f t="shared" si="1"/>
        <v>Março</v>
      </c>
    </row>
    <row r="118" spans="1:19" hidden="1" x14ac:dyDescent="0.3">
      <c r="A118">
        <v>117</v>
      </c>
      <c r="B118" s="1">
        <v>43897</v>
      </c>
      <c r="C118">
        <v>32</v>
      </c>
      <c r="D118" t="s">
        <v>64</v>
      </c>
      <c r="E118" t="s">
        <v>95</v>
      </c>
      <c r="F118">
        <v>31</v>
      </c>
      <c r="G118" s="2">
        <v>117</v>
      </c>
      <c r="H118" s="2">
        <v>3627</v>
      </c>
      <c r="I118" s="1">
        <v>0.14000000000000001</v>
      </c>
      <c r="J118" s="2">
        <v>3119.22</v>
      </c>
      <c r="K118" s="1">
        <v>43905</v>
      </c>
      <c r="L118" s="1">
        <v>43905</v>
      </c>
      <c r="M118">
        <v>117</v>
      </c>
      <c r="N118">
        <v>4</v>
      </c>
      <c r="O118" t="s">
        <v>20</v>
      </c>
      <c r="P118" s="3">
        <v>0.05</v>
      </c>
      <c r="Q118" s="2">
        <v>155.96100000000001</v>
      </c>
      <c r="R118">
        <v>5</v>
      </c>
      <c r="S118" t="str">
        <f t="shared" si="1"/>
        <v>Março</v>
      </c>
    </row>
    <row r="119" spans="1:19" hidden="1" x14ac:dyDescent="0.3">
      <c r="A119">
        <v>118</v>
      </c>
      <c r="B119" s="1">
        <v>43897</v>
      </c>
      <c r="C119">
        <v>36</v>
      </c>
      <c r="D119" t="s">
        <v>57</v>
      </c>
      <c r="E119" t="s">
        <v>98</v>
      </c>
      <c r="F119">
        <v>30</v>
      </c>
      <c r="G119" s="2">
        <v>99</v>
      </c>
      <c r="H119" s="2">
        <v>2970</v>
      </c>
      <c r="I119" s="1">
        <v>7.0000000000000007E-2</v>
      </c>
      <c r="J119" s="2">
        <v>2762.1</v>
      </c>
      <c r="K119" s="1">
        <v>43898</v>
      </c>
      <c r="L119" s="1">
        <v>43898</v>
      </c>
      <c r="M119">
        <v>118</v>
      </c>
      <c r="N119">
        <v>5</v>
      </c>
      <c r="O119" t="s">
        <v>30</v>
      </c>
      <c r="P119" s="3">
        <v>0.05</v>
      </c>
      <c r="Q119" s="2">
        <v>138.10499999999999</v>
      </c>
      <c r="R119">
        <v>6</v>
      </c>
      <c r="S119" t="str">
        <f t="shared" si="1"/>
        <v>Março</v>
      </c>
    </row>
    <row r="120" spans="1:19" hidden="1" x14ac:dyDescent="0.3">
      <c r="A120">
        <v>119</v>
      </c>
      <c r="B120" s="1">
        <v>43897</v>
      </c>
      <c r="C120">
        <v>78</v>
      </c>
      <c r="D120" t="s">
        <v>29</v>
      </c>
      <c r="E120" t="s">
        <v>96</v>
      </c>
      <c r="F120">
        <v>23</v>
      </c>
      <c r="G120" s="2">
        <v>92</v>
      </c>
      <c r="H120" s="2">
        <v>2116</v>
      </c>
      <c r="I120" s="1">
        <v>0.02</v>
      </c>
      <c r="J120" s="2">
        <v>2073.6799999999998</v>
      </c>
      <c r="K120" s="1">
        <v>43926</v>
      </c>
      <c r="L120" s="1">
        <v>43926</v>
      </c>
      <c r="M120">
        <v>119</v>
      </c>
      <c r="N120">
        <v>3</v>
      </c>
      <c r="O120" t="s">
        <v>27</v>
      </c>
      <c r="P120" s="3">
        <v>0.08</v>
      </c>
      <c r="Q120" s="2">
        <v>165.89439999999999</v>
      </c>
      <c r="R120">
        <v>7</v>
      </c>
      <c r="S120" t="str">
        <f t="shared" si="1"/>
        <v>Março</v>
      </c>
    </row>
    <row r="121" spans="1:19" hidden="1" x14ac:dyDescent="0.3">
      <c r="A121">
        <v>120</v>
      </c>
      <c r="B121" s="1">
        <v>43897</v>
      </c>
      <c r="C121">
        <v>13</v>
      </c>
      <c r="D121" t="s">
        <v>62</v>
      </c>
      <c r="E121" t="s">
        <v>97</v>
      </c>
      <c r="F121">
        <v>32</v>
      </c>
      <c r="G121" s="2">
        <v>99</v>
      </c>
      <c r="H121" s="2">
        <v>3168</v>
      </c>
      <c r="I121" s="1">
        <v>0.11</v>
      </c>
      <c r="J121" s="2">
        <v>2819.52</v>
      </c>
      <c r="K121" s="1">
        <v>43902</v>
      </c>
      <c r="L121" s="1">
        <v>43902</v>
      </c>
      <c r="M121">
        <v>120</v>
      </c>
      <c r="N121">
        <v>6</v>
      </c>
      <c r="O121" t="s">
        <v>38</v>
      </c>
      <c r="P121" s="3">
        <v>0.09</v>
      </c>
      <c r="Q121" s="2">
        <v>253.7568</v>
      </c>
      <c r="R121">
        <v>1</v>
      </c>
      <c r="S121" t="str">
        <f t="shared" si="1"/>
        <v>Março</v>
      </c>
    </row>
    <row r="122" spans="1:19" hidden="1" x14ac:dyDescent="0.3">
      <c r="A122">
        <v>121</v>
      </c>
      <c r="B122" s="1">
        <v>43898</v>
      </c>
      <c r="C122">
        <v>49</v>
      </c>
      <c r="D122" t="s">
        <v>31</v>
      </c>
      <c r="E122" t="s">
        <v>99</v>
      </c>
      <c r="F122">
        <v>31</v>
      </c>
      <c r="G122" s="2">
        <v>103</v>
      </c>
      <c r="H122" s="2">
        <v>3193</v>
      </c>
      <c r="I122" s="1">
        <v>0.09</v>
      </c>
      <c r="J122" s="2">
        <v>2905.63</v>
      </c>
      <c r="K122" s="1">
        <v>43902</v>
      </c>
      <c r="L122" s="1">
        <v>43902</v>
      </c>
      <c r="M122">
        <v>121</v>
      </c>
      <c r="N122">
        <v>5</v>
      </c>
      <c r="O122" t="s">
        <v>30</v>
      </c>
      <c r="P122" s="3">
        <v>0.05</v>
      </c>
      <c r="Q122" s="2">
        <v>145.28150000000002</v>
      </c>
      <c r="R122">
        <v>2</v>
      </c>
      <c r="S122" t="str">
        <f t="shared" si="1"/>
        <v>Março</v>
      </c>
    </row>
    <row r="123" spans="1:19" hidden="1" x14ac:dyDescent="0.3">
      <c r="A123">
        <v>122</v>
      </c>
      <c r="B123" s="1">
        <v>43898</v>
      </c>
      <c r="C123">
        <v>1</v>
      </c>
      <c r="D123" t="s">
        <v>80</v>
      </c>
      <c r="E123" t="s">
        <v>97</v>
      </c>
      <c r="F123">
        <v>26</v>
      </c>
      <c r="G123" s="2">
        <v>97</v>
      </c>
      <c r="H123" s="2">
        <v>2522</v>
      </c>
      <c r="I123" s="1">
        <v>0.14000000000000001</v>
      </c>
      <c r="J123" s="2">
        <v>2168.92</v>
      </c>
      <c r="K123" s="1">
        <v>43899</v>
      </c>
      <c r="L123" s="1">
        <v>43899</v>
      </c>
      <c r="M123">
        <v>122</v>
      </c>
      <c r="N123">
        <v>2</v>
      </c>
      <c r="O123" t="s">
        <v>38</v>
      </c>
      <c r="P123" s="3">
        <v>0.1</v>
      </c>
      <c r="Q123" s="2">
        <v>216.89200000000002</v>
      </c>
      <c r="R123">
        <v>3</v>
      </c>
      <c r="S123" t="str">
        <f t="shared" si="1"/>
        <v>Março</v>
      </c>
    </row>
    <row r="124" spans="1:19" hidden="1" x14ac:dyDescent="0.3">
      <c r="A124">
        <v>123</v>
      </c>
      <c r="B124" s="1">
        <v>43898</v>
      </c>
      <c r="C124">
        <v>33</v>
      </c>
      <c r="D124" t="s">
        <v>63</v>
      </c>
      <c r="E124" t="s">
        <v>98</v>
      </c>
      <c r="F124">
        <v>13</v>
      </c>
      <c r="G124" s="2">
        <v>111</v>
      </c>
      <c r="H124" s="2">
        <v>1443</v>
      </c>
      <c r="I124" s="1">
        <v>0.01</v>
      </c>
      <c r="J124" s="2">
        <v>1428.57</v>
      </c>
      <c r="K124" s="1">
        <v>43901</v>
      </c>
      <c r="L124" s="1">
        <v>43901</v>
      </c>
      <c r="M124">
        <v>123</v>
      </c>
      <c r="N124">
        <v>4</v>
      </c>
      <c r="O124" t="s">
        <v>25</v>
      </c>
      <c r="P124" s="3">
        <v>0.05</v>
      </c>
      <c r="Q124" s="2">
        <v>71.4285</v>
      </c>
      <c r="R124">
        <v>4</v>
      </c>
      <c r="S124" t="str">
        <f t="shared" si="1"/>
        <v>Março</v>
      </c>
    </row>
    <row r="125" spans="1:19" hidden="1" x14ac:dyDescent="0.3">
      <c r="A125">
        <v>124</v>
      </c>
      <c r="B125" s="1">
        <v>43898</v>
      </c>
      <c r="C125">
        <v>50</v>
      </c>
      <c r="D125" t="s">
        <v>68</v>
      </c>
      <c r="E125" t="s">
        <v>96</v>
      </c>
      <c r="F125">
        <v>35</v>
      </c>
      <c r="G125" s="2">
        <v>102</v>
      </c>
      <c r="H125" s="2">
        <v>3570</v>
      </c>
      <c r="I125" s="1">
        <v>0.09</v>
      </c>
      <c r="J125" s="2">
        <v>3248.7</v>
      </c>
      <c r="K125" s="1">
        <v>43913</v>
      </c>
      <c r="M125">
        <v>124</v>
      </c>
      <c r="N125">
        <v>7</v>
      </c>
      <c r="O125" t="s">
        <v>20</v>
      </c>
      <c r="P125" s="3">
        <v>0.09</v>
      </c>
      <c r="Q125" s="2">
        <v>292.38299999999998</v>
      </c>
      <c r="R125">
        <v>5</v>
      </c>
      <c r="S125" t="str">
        <f t="shared" si="1"/>
        <v>Março</v>
      </c>
    </row>
    <row r="126" spans="1:19" hidden="1" x14ac:dyDescent="0.3">
      <c r="A126">
        <v>125</v>
      </c>
      <c r="B126" s="1">
        <v>43899</v>
      </c>
      <c r="C126">
        <v>46</v>
      </c>
      <c r="D126" t="s">
        <v>81</v>
      </c>
      <c r="E126" t="s">
        <v>101</v>
      </c>
      <c r="F126">
        <v>19</v>
      </c>
      <c r="G126" s="2">
        <v>104</v>
      </c>
      <c r="H126" s="2">
        <v>1976</v>
      </c>
      <c r="I126" s="1">
        <v>0.09</v>
      </c>
      <c r="J126" s="2">
        <v>1798.16</v>
      </c>
      <c r="K126" s="1">
        <v>43928</v>
      </c>
      <c r="L126" s="1">
        <v>43928</v>
      </c>
      <c r="M126">
        <v>125</v>
      </c>
      <c r="N126">
        <v>5</v>
      </c>
      <c r="O126" t="s">
        <v>42</v>
      </c>
      <c r="P126" s="3">
        <v>0.09</v>
      </c>
      <c r="Q126" s="2">
        <v>161.83439999999999</v>
      </c>
      <c r="R126">
        <v>6</v>
      </c>
      <c r="S126" t="str">
        <f t="shared" si="1"/>
        <v>Março</v>
      </c>
    </row>
    <row r="127" spans="1:19" hidden="1" x14ac:dyDescent="0.3">
      <c r="A127">
        <v>126</v>
      </c>
      <c r="B127" s="1">
        <v>43899</v>
      </c>
      <c r="C127">
        <v>26</v>
      </c>
      <c r="D127" t="s">
        <v>82</v>
      </c>
      <c r="E127" t="s">
        <v>96</v>
      </c>
      <c r="F127">
        <v>15</v>
      </c>
      <c r="G127" s="2">
        <v>119</v>
      </c>
      <c r="H127" s="2">
        <v>1785</v>
      </c>
      <c r="I127" s="1">
        <v>0.15</v>
      </c>
      <c r="J127" s="2">
        <v>1517.25</v>
      </c>
      <c r="K127" s="1">
        <v>43912</v>
      </c>
      <c r="L127" s="1">
        <v>43912</v>
      </c>
      <c r="M127">
        <v>126</v>
      </c>
      <c r="N127">
        <v>7</v>
      </c>
      <c r="O127" t="s">
        <v>30</v>
      </c>
      <c r="P127" s="3">
        <v>0.05</v>
      </c>
      <c r="Q127" s="2">
        <v>75.862499999999997</v>
      </c>
      <c r="R127">
        <v>7</v>
      </c>
      <c r="S127" t="str">
        <f t="shared" si="1"/>
        <v>Março</v>
      </c>
    </row>
    <row r="128" spans="1:19" hidden="1" x14ac:dyDescent="0.3">
      <c r="A128">
        <v>127</v>
      </c>
      <c r="B128" s="1">
        <v>43901</v>
      </c>
      <c r="C128">
        <v>48</v>
      </c>
      <c r="D128" t="s">
        <v>48</v>
      </c>
      <c r="E128" t="s">
        <v>95</v>
      </c>
      <c r="F128">
        <v>13</v>
      </c>
      <c r="G128" s="2">
        <v>99</v>
      </c>
      <c r="H128" s="2">
        <v>1287</v>
      </c>
      <c r="I128" s="1">
        <v>0.15</v>
      </c>
      <c r="J128" s="2">
        <v>1093.95</v>
      </c>
      <c r="K128" s="1">
        <v>43929</v>
      </c>
      <c r="L128" s="1">
        <v>43929</v>
      </c>
      <c r="M128">
        <v>127</v>
      </c>
      <c r="N128">
        <v>6</v>
      </c>
      <c r="O128" t="s">
        <v>30</v>
      </c>
      <c r="P128" s="3">
        <v>0.08</v>
      </c>
      <c r="Q128" s="2">
        <v>87.516000000000005</v>
      </c>
      <c r="R128">
        <v>1</v>
      </c>
      <c r="S128" t="str">
        <f t="shared" si="1"/>
        <v>Março</v>
      </c>
    </row>
    <row r="129" spans="1:19" hidden="1" x14ac:dyDescent="0.3">
      <c r="A129">
        <v>128</v>
      </c>
      <c r="B129" s="1">
        <v>43901</v>
      </c>
      <c r="C129">
        <v>22</v>
      </c>
      <c r="D129" t="s">
        <v>41</v>
      </c>
      <c r="E129" t="s">
        <v>95</v>
      </c>
      <c r="F129">
        <v>31</v>
      </c>
      <c r="G129" s="2">
        <v>104</v>
      </c>
      <c r="H129" s="2">
        <v>3224</v>
      </c>
      <c r="I129" s="1">
        <v>0.13</v>
      </c>
      <c r="J129" s="2">
        <v>2804.88</v>
      </c>
      <c r="K129" s="1">
        <v>43919</v>
      </c>
      <c r="L129" s="1">
        <v>43919</v>
      </c>
      <c r="M129">
        <v>128</v>
      </c>
      <c r="N129">
        <v>6</v>
      </c>
      <c r="O129" t="s">
        <v>56</v>
      </c>
      <c r="P129" s="3">
        <v>0.06</v>
      </c>
      <c r="Q129" s="2">
        <v>168.2928</v>
      </c>
      <c r="R129">
        <v>2</v>
      </c>
      <c r="S129" t="str">
        <f t="shared" si="1"/>
        <v>Março</v>
      </c>
    </row>
    <row r="130" spans="1:19" hidden="1" x14ac:dyDescent="0.3">
      <c r="A130">
        <v>129</v>
      </c>
      <c r="B130" s="1">
        <v>43902</v>
      </c>
      <c r="C130">
        <v>30</v>
      </c>
      <c r="D130" t="s">
        <v>83</v>
      </c>
      <c r="E130" t="s">
        <v>97</v>
      </c>
      <c r="F130">
        <v>36</v>
      </c>
      <c r="G130" s="2">
        <v>109</v>
      </c>
      <c r="H130" s="2">
        <v>3924</v>
      </c>
      <c r="I130" s="1">
        <v>7.0000000000000007E-2</v>
      </c>
      <c r="J130" s="2">
        <v>3649.32</v>
      </c>
      <c r="K130" s="1">
        <v>43904</v>
      </c>
      <c r="L130" s="1">
        <v>43904</v>
      </c>
      <c r="M130">
        <v>129</v>
      </c>
      <c r="N130">
        <v>3</v>
      </c>
      <c r="O130" t="s">
        <v>27</v>
      </c>
      <c r="P130" s="3">
        <v>0.08</v>
      </c>
      <c r="Q130" s="2">
        <v>291.94560000000001</v>
      </c>
      <c r="R130">
        <v>3</v>
      </c>
      <c r="S130" t="str">
        <f t="shared" si="1"/>
        <v>Março</v>
      </c>
    </row>
    <row r="131" spans="1:19" x14ac:dyDescent="0.3">
      <c r="A131">
        <v>130</v>
      </c>
      <c r="B131" s="1">
        <v>43902</v>
      </c>
      <c r="C131">
        <v>97</v>
      </c>
      <c r="D131" t="s">
        <v>53</v>
      </c>
      <c r="E131" t="s">
        <v>103</v>
      </c>
      <c r="F131">
        <v>24</v>
      </c>
      <c r="G131" s="2">
        <v>105</v>
      </c>
      <c r="H131" s="2">
        <v>2520</v>
      </c>
      <c r="I131" s="1">
        <v>0.03</v>
      </c>
      <c r="J131" s="2">
        <v>2444.4</v>
      </c>
      <c r="K131" s="1">
        <v>43906</v>
      </c>
      <c r="L131" s="1">
        <v>43906</v>
      </c>
      <c r="M131">
        <v>130</v>
      </c>
      <c r="N131">
        <v>1</v>
      </c>
      <c r="O131" t="s">
        <v>35</v>
      </c>
      <c r="P131" s="3">
        <v>0.09</v>
      </c>
      <c r="Q131" s="2">
        <v>219.99600000000001</v>
      </c>
      <c r="R131">
        <v>4</v>
      </c>
      <c r="S131" t="str">
        <f t="shared" ref="S131:S194" si="2">PROPER(TEXT(B131,"mmmm"))</f>
        <v>Março</v>
      </c>
    </row>
    <row r="132" spans="1:19" hidden="1" x14ac:dyDescent="0.3">
      <c r="A132">
        <v>131</v>
      </c>
      <c r="B132" s="1">
        <v>43902</v>
      </c>
      <c r="C132">
        <v>64</v>
      </c>
      <c r="D132" t="s">
        <v>65</v>
      </c>
      <c r="E132" t="s">
        <v>96</v>
      </c>
      <c r="F132">
        <v>24</v>
      </c>
      <c r="G132" s="2">
        <v>118</v>
      </c>
      <c r="H132" s="2">
        <v>2832</v>
      </c>
      <c r="I132" s="1">
        <v>0.13</v>
      </c>
      <c r="J132" s="2">
        <v>2463.84</v>
      </c>
      <c r="K132" s="1">
        <v>43930</v>
      </c>
      <c r="L132" s="1">
        <v>43930</v>
      </c>
      <c r="M132">
        <v>131</v>
      </c>
      <c r="N132">
        <v>5</v>
      </c>
      <c r="O132" t="s">
        <v>42</v>
      </c>
      <c r="P132" s="3">
        <v>7.0000000000000007E-2</v>
      </c>
      <c r="Q132" s="2">
        <v>172.46880000000002</v>
      </c>
      <c r="R132">
        <v>5</v>
      </c>
      <c r="S132" t="str">
        <f t="shared" si="2"/>
        <v>Março</v>
      </c>
    </row>
    <row r="133" spans="1:19" hidden="1" x14ac:dyDescent="0.3">
      <c r="A133">
        <v>132</v>
      </c>
      <c r="B133" s="1">
        <v>43903</v>
      </c>
      <c r="C133">
        <v>98</v>
      </c>
      <c r="D133" t="s">
        <v>21</v>
      </c>
      <c r="E133" t="s">
        <v>96</v>
      </c>
      <c r="F133">
        <v>48</v>
      </c>
      <c r="G133" s="2">
        <v>119</v>
      </c>
      <c r="H133" s="2">
        <v>5712</v>
      </c>
      <c r="I133" s="1">
        <v>0</v>
      </c>
      <c r="J133" s="2">
        <v>5712</v>
      </c>
      <c r="K133" s="1">
        <v>43931</v>
      </c>
      <c r="L133" s="1">
        <v>43931</v>
      </c>
      <c r="M133">
        <v>132</v>
      </c>
      <c r="N133">
        <v>1</v>
      </c>
      <c r="O133" t="s">
        <v>38</v>
      </c>
      <c r="P133" s="3">
        <v>0.08</v>
      </c>
      <c r="Q133" s="2">
        <v>456.96000000000004</v>
      </c>
      <c r="R133">
        <v>6</v>
      </c>
      <c r="S133" t="str">
        <f t="shared" si="2"/>
        <v>Março</v>
      </c>
    </row>
    <row r="134" spans="1:19" hidden="1" x14ac:dyDescent="0.3">
      <c r="A134">
        <v>133</v>
      </c>
      <c r="B134" s="1">
        <v>43903</v>
      </c>
      <c r="C134">
        <v>37</v>
      </c>
      <c r="D134" t="s">
        <v>39</v>
      </c>
      <c r="E134" t="s">
        <v>96</v>
      </c>
      <c r="F134">
        <v>13</v>
      </c>
      <c r="G134" s="2">
        <v>120</v>
      </c>
      <c r="H134" s="2">
        <v>1560</v>
      </c>
      <c r="I134" s="1">
        <v>0.14000000000000001</v>
      </c>
      <c r="J134" s="2">
        <v>1341.6</v>
      </c>
      <c r="K134" s="1">
        <v>43927</v>
      </c>
      <c r="L134" s="1">
        <v>43927</v>
      </c>
      <c r="M134">
        <v>133</v>
      </c>
      <c r="N134">
        <v>4</v>
      </c>
      <c r="O134" t="s">
        <v>18</v>
      </c>
      <c r="P134" s="3">
        <v>0.06</v>
      </c>
      <c r="Q134" s="2">
        <v>80.495999999999995</v>
      </c>
      <c r="R134">
        <v>7</v>
      </c>
      <c r="S134" t="str">
        <f t="shared" si="2"/>
        <v>Março</v>
      </c>
    </row>
    <row r="135" spans="1:19" x14ac:dyDescent="0.3">
      <c r="A135">
        <v>134</v>
      </c>
      <c r="B135" s="1">
        <v>43903</v>
      </c>
      <c r="C135">
        <v>15</v>
      </c>
      <c r="D135" t="s">
        <v>64</v>
      </c>
      <c r="E135" t="s">
        <v>96</v>
      </c>
      <c r="F135">
        <v>11</v>
      </c>
      <c r="G135" s="2">
        <v>113</v>
      </c>
      <c r="H135" s="2">
        <v>1243</v>
      </c>
      <c r="I135" s="1">
        <v>0.12</v>
      </c>
      <c r="J135" s="2">
        <v>1093.8399999999999</v>
      </c>
      <c r="K135" s="1">
        <v>43924</v>
      </c>
      <c r="L135" s="1">
        <v>43924</v>
      </c>
      <c r="M135">
        <v>134</v>
      </c>
      <c r="N135">
        <v>7</v>
      </c>
      <c r="O135" t="s">
        <v>35</v>
      </c>
      <c r="P135" s="3">
        <v>0.1</v>
      </c>
      <c r="Q135" s="2">
        <v>109.384</v>
      </c>
      <c r="R135">
        <v>1</v>
      </c>
      <c r="S135" t="str">
        <f t="shared" si="2"/>
        <v>Março</v>
      </c>
    </row>
    <row r="136" spans="1:19" hidden="1" x14ac:dyDescent="0.3">
      <c r="A136">
        <v>135</v>
      </c>
      <c r="B136" s="1">
        <v>43905</v>
      </c>
      <c r="C136">
        <v>6</v>
      </c>
      <c r="D136" t="s">
        <v>75</v>
      </c>
      <c r="E136" t="s">
        <v>97</v>
      </c>
      <c r="F136">
        <v>18</v>
      </c>
      <c r="G136" s="2">
        <v>104</v>
      </c>
      <c r="H136" s="2">
        <v>1872</v>
      </c>
      <c r="I136" s="1">
        <v>0.01</v>
      </c>
      <c r="J136" s="2">
        <v>1853.28</v>
      </c>
      <c r="K136" s="1">
        <v>43928</v>
      </c>
      <c r="L136" s="1">
        <v>43928</v>
      </c>
      <c r="M136">
        <v>135</v>
      </c>
      <c r="N136">
        <v>1</v>
      </c>
      <c r="O136" t="s">
        <v>38</v>
      </c>
      <c r="P136" s="3">
        <v>0.1</v>
      </c>
      <c r="Q136" s="2">
        <v>185.328</v>
      </c>
      <c r="R136">
        <v>2</v>
      </c>
      <c r="S136" t="str">
        <f t="shared" si="2"/>
        <v>Março</v>
      </c>
    </row>
    <row r="137" spans="1:19" x14ac:dyDescent="0.3">
      <c r="A137">
        <v>136</v>
      </c>
      <c r="B137" s="1">
        <v>43906</v>
      </c>
      <c r="C137">
        <v>94</v>
      </c>
      <c r="D137" t="s">
        <v>40</v>
      </c>
      <c r="E137" t="s">
        <v>104</v>
      </c>
      <c r="F137">
        <v>25</v>
      </c>
      <c r="G137" s="2">
        <v>115</v>
      </c>
      <c r="H137" s="2">
        <v>2875</v>
      </c>
      <c r="I137" s="1">
        <v>7.0000000000000007E-2</v>
      </c>
      <c r="J137" s="2">
        <v>2673.75</v>
      </c>
      <c r="K137" s="1">
        <v>43930</v>
      </c>
      <c r="L137" s="1">
        <v>43930</v>
      </c>
      <c r="M137">
        <v>136</v>
      </c>
      <c r="N137">
        <v>1</v>
      </c>
      <c r="O137" t="s">
        <v>35</v>
      </c>
      <c r="P137" s="3">
        <v>7.0000000000000007E-2</v>
      </c>
      <c r="Q137" s="2">
        <v>187.16250000000002</v>
      </c>
      <c r="R137">
        <v>3</v>
      </c>
      <c r="S137" t="str">
        <f t="shared" si="2"/>
        <v>Março</v>
      </c>
    </row>
    <row r="138" spans="1:19" hidden="1" x14ac:dyDescent="0.3">
      <c r="A138">
        <v>137</v>
      </c>
      <c r="B138" s="1">
        <v>43907</v>
      </c>
      <c r="C138">
        <v>80</v>
      </c>
      <c r="D138" t="s">
        <v>31</v>
      </c>
      <c r="E138" t="s">
        <v>97</v>
      </c>
      <c r="F138">
        <v>49</v>
      </c>
      <c r="G138" s="2">
        <v>107</v>
      </c>
      <c r="H138" s="2">
        <v>5243</v>
      </c>
      <c r="I138" s="1">
        <v>0.04</v>
      </c>
      <c r="J138" s="2">
        <v>5033.28</v>
      </c>
      <c r="K138" s="1">
        <v>43930</v>
      </c>
      <c r="L138" s="1">
        <v>43930</v>
      </c>
      <c r="M138">
        <v>137</v>
      </c>
      <c r="N138">
        <v>3</v>
      </c>
      <c r="O138" t="s">
        <v>25</v>
      </c>
      <c r="P138" s="3">
        <v>0.06</v>
      </c>
      <c r="Q138" s="2">
        <v>301.99679999999995</v>
      </c>
      <c r="R138">
        <v>4</v>
      </c>
      <c r="S138" t="str">
        <f t="shared" si="2"/>
        <v>Março</v>
      </c>
    </row>
    <row r="139" spans="1:19" hidden="1" x14ac:dyDescent="0.3">
      <c r="A139">
        <v>138</v>
      </c>
      <c r="B139" s="1">
        <v>43907</v>
      </c>
      <c r="C139">
        <v>94</v>
      </c>
      <c r="D139" t="s">
        <v>40</v>
      </c>
      <c r="E139" t="s">
        <v>99</v>
      </c>
      <c r="F139">
        <v>16</v>
      </c>
      <c r="G139" s="2">
        <v>106</v>
      </c>
      <c r="H139" s="2">
        <v>1696</v>
      </c>
      <c r="I139" s="1">
        <v>0.11</v>
      </c>
      <c r="J139" s="2">
        <v>1509.44</v>
      </c>
      <c r="K139" s="1">
        <v>43924</v>
      </c>
      <c r="L139" s="1">
        <v>43924</v>
      </c>
      <c r="M139">
        <v>138</v>
      </c>
      <c r="N139">
        <v>7</v>
      </c>
      <c r="O139" t="s">
        <v>56</v>
      </c>
      <c r="P139" s="3">
        <v>0.05</v>
      </c>
      <c r="Q139" s="2">
        <v>75.472000000000008</v>
      </c>
      <c r="R139">
        <v>5</v>
      </c>
      <c r="S139" t="str">
        <f t="shared" si="2"/>
        <v>Março</v>
      </c>
    </row>
    <row r="140" spans="1:19" hidden="1" x14ac:dyDescent="0.3">
      <c r="A140">
        <v>139</v>
      </c>
      <c r="B140" s="1">
        <v>43908</v>
      </c>
      <c r="C140">
        <v>80</v>
      </c>
      <c r="D140" t="s">
        <v>31</v>
      </c>
      <c r="E140" t="s">
        <v>103</v>
      </c>
      <c r="F140">
        <v>50</v>
      </c>
      <c r="G140" s="2">
        <v>119</v>
      </c>
      <c r="H140" s="2">
        <v>5950</v>
      </c>
      <c r="I140" s="1">
        <v>0.1</v>
      </c>
      <c r="J140" s="2">
        <v>5355</v>
      </c>
      <c r="K140" s="1">
        <v>43911</v>
      </c>
      <c r="L140" s="1">
        <v>43911</v>
      </c>
      <c r="M140">
        <v>139</v>
      </c>
      <c r="N140">
        <v>3</v>
      </c>
      <c r="O140" t="s">
        <v>30</v>
      </c>
      <c r="P140" s="3">
        <v>0.1</v>
      </c>
      <c r="Q140" s="2">
        <v>535.5</v>
      </c>
      <c r="R140">
        <v>6</v>
      </c>
      <c r="S140" t="str">
        <f t="shared" si="2"/>
        <v>Março</v>
      </c>
    </row>
    <row r="141" spans="1:19" hidden="1" x14ac:dyDescent="0.3">
      <c r="A141">
        <v>140</v>
      </c>
      <c r="B141" s="1">
        <v>43909</v>
      </c>
      <c r="C141">
        <v>73</v>
      </c>
      <c r="D141" t="s">
        <v>31</v>
      </c>
      <c r="E141" t="s">
        <v>100</v>
      </c>
      <c r="F141">
        <v>36</v>
      </c>
      <c r="G141" s="2">
        <v>111</v>
      </c>
      <c r="H141" s="2">
        <v>3996</v>
      </c>
      <c r="I141" s="1">
        <v>0.08</v>
      </c>
      <c r="J141" s="2">
        <v>3676.32</v>
      </c>
      <c r="K141" s="1">
        <v>43931</v>
      </c>
      <c r="L141" s="1">
        <v>43931</v>
      </c>
      <c r="M141">
        <v>140</v>
      </c>
      <c r="N141">
        <v>1</v>
      </c>
      <c r="O141" t="s">
        <v>30</v>
      </c>
      <c r="P141" s="3">
        <v>0.1</v>
      </c>
      <c r="Q141" s="2">
        <v>367.63200000000006</v>
      </c>
      <c r="R141">
        <v>7</v>
      </c>
      <c r="S141" t="str">
        <f t="shared" si="2"/>
        <v>Março</v>
      </c>
    </row>
    <row r="142" spans="1:19" hidden="1" x14ac:dyDescent="0.3">
      <c r="A142">
        <v>141</v>
      </c>
      <c r="B142" s="1">
        <v>43909</v>
      </c>
      <c r="C142">
        <v>17</v>
      </c>
      <c r="D142" t="s">
        <v>54</v>
      </c>
      <c r="E142" t="s">
        <v>103</v>
      </c>
      <c r="F142">
        <v>10</v>
      </c>
      <c r="G142" s="2">
        <v>96</v>
      </c>
      <c r="H142" s="2">
        <v>960</v>
      </c>
      <c r="I142" s="1">
        <v>0.1</v>
      </c>
      <c r="J142" s="2">
        <v>864</v>
      </c>
      <c r="K142" s="1">
        <v>43922</v>
      </c>
      <c r="L142" s="1">
        <v>43922</v>
      </c>
      <c r="M142">
        <v>141</v>
      </c>
      <c r="N142">
        <v>2</v>
      </c>
      <c r="O142" t="s">
        <v>25</v>
      </c>
      <c r="P142" s="3">
        <v>0.05</v>
      </c>
      <c r="Q142" s="2">
        <v>43.2</v>
      </c>
      <c r="R142">
        <v>1</v>
      </c>
      <c r="S142" t="str">
        <f t="shared" si="2"/>
        <v>Março</v>
      </c>
    </row>
    <row r="143" spans="1:19" hidden="1" x14ac:dyDescent="0.3">
      <c r="A143">
        <v>142</v>
      </c>
      <c r="B143" s="1">
        <v>43911</v>
      </c>
      <c r="C143">
        <v>14</v>
      </c>
      <c r="D143" t="s">
        <v>22</v>
      </c>
      <c r="E143" t="s">
        <v>99</v>
      </c>
      <c r="F143">
        <v>20</v>
      </c>
      <c r="G143" s="2">
        <v>113</v>
      </c>
      <c r="H143" s="2">
        <v>2260</v>
      </c>
      <c r="I143" s="1">
        <v>0.09</v>
      </c>
      <c r="J143" s="2">
        <v>2056.6</v>
      </c>
      <c r="K143" s="1">
        <v>43913</v>
      </c>
      <c r="L143" s="1">
        <v>43913</v>
      </c>
      <c r="M143">
        <v>142</v>
      </c>
      <c r="N143">
        <v>6</v>
      </c>
      <c r="O143" t="s">
        <v>20</v>
      </c>
      <c r="P143" s="3">
        <v>7.0000000000000007E-2</v>
      </c>
      <c r="Q143" s="2">
        <v>143.96200000000002</v>
      </c>
      <c r="R143">
        <v>2</v>
      </c>
      <c r="S143" t="str">
        <f t="shared" si="2"/>
        <v>Março</v>
      </c>
    </row>
    <row r="144" spans="1:19" hidden="1" x14ac:dyDescent="0.3">
      <c r="A144">
        <v>143</v>
      </c>
      <c r="B144" s="1">
        <v>43911</v>
      </c>
      <c r="C144">
        <v>16</v>
      </c>
      <c r="D144" t="s">
        <v>22</v>
      </c>
      <c r="E144" t="s">
        <v>97</v>
      </c>
      <c r="F144">
        <v>46</v>
      </c>
      <c r="G144" s="2">
        <v>98</v>
      </c>
      <c r="H144" s="2">
        <v>4508</v>
      </c>
      <c r="I144" s="1">
        <v>0</v>
      </c>
      <c r="J144" s="2">
        <v>4508</v>
      </c>
      <c r="K144" s="1">
        <v>43932</v>
      </c>
      <c r="L144" s="1">
        <v>43932</v>
      </c>
      <c r="M144">
        <v>143</v>
      </c>
      <c r="N144">
        <v>1</v>
      </c>
      <c r="O144" t="s">
        <v>27</v>
      </c>
      <c r="P144" s="3">
        <v>0.06</v>
      </c>
      <c r="Q144" s="2">
        <v>270.48</v>
      </c>
      <c r="R144">
        <v>3</v>
      </c>
      <c r="S144" t="str">
        <f t="shared" si="2"/>
        <v>Março</v>
      </c>
    </row>
    <row r="145" spans="1:19" hidden="1" x14ac:dyDescent="0.3">
      <c r="A145">
        <v>144</v>
      </c>
      <c r="B145" s="1">
        <v>43911</v>
      </c>
      <c r="C145">
        <v>41</v>
      </c>
      <c r="D145" t="s">
        <v>55</v>
      </c>
      <c r="E145" t="s">
        <v>100</v>
      </c>
      <c r="F145">
        <v>14</v>
      </c>
      <c r="G145" s="2">
        <v>92</v>
      </c>
      <c r="H145" s="2">
        <v>1288</v>
      </c>
      <c r="I145" s="1">
        <v>7.0000000000000007E-2</v>
      </c>
      <c r="J145" s="2">
        <v>1197.8399999999999</v>
      </c>
      <c r="K145" s="1">
        <v>43927</v>
      </c>
      <c r="L145" s="1">
        <v>43927</v>
      </c>
      <c r="M145">
        <v>144</v>
      </c>
      <c r="N145">
        <v>7</v>
      </c>
      <c r="O145" t="s">
        <v>27</v>
      </c>
      <c r="P145" s="3">
        <v>7.0000000000000007E-2</v>
      </c>
      <c r="Q145" s="2">
        <v>83.848799999999997</v>
      </c>
      <c r="R145">
        <v>4</v>
      </c>
      <c r="S145" t="str">
        <f t="shared" si="2"/>
        <v>Março</v>
      </c>
    </row>
    <row r="146" spans="1:19" hidden="1" x14ac:dyDescent="0.3">
      <c r="A146">
        <v>145</v>
      </c>
      <c r="B146" s="1">
        <v>43912</v>
      </c>
      <c r="C146">
        <v>34</v>
      </c>
      <c r="D146" t="s">
        <v>46</v>
      </c>
      <c r="E146" t="s">
        <v>99</v>
      </c>
      <c r="F146">
        <v>42</v>
      </c>
      <c r="G146" s="2">
        <v>91</v>
      </c>
      <c r="H146" s="2">
        <v>3822</v>
      </c>
      <c r="I146" s="1">
        <v>0.14000000000000001</v>
      </c>
      <c r="J146" s="2">
        <v>3286.92</v>
      </c>
      <c r="K146" s="1">
        <v>43921</v>
      </c>
      <c r="L146" s="1">
        <v>43921</v>
      </c>
      <c r="M146">
        <v>145</v>
      </c>
      <c r="N146">
        <v>1</v>
      </c>
      <c r="O146" t="s">
        <v>38</v>
      </c>
      <c r="P146" s="3">
        <v>0.06</v>
      </c>
      <c r="Q146" s="2">
        <v>197.21520000000001</v>
      </c>
      <c r="R146">
        <v>5</v>
      </c>
      <c r="S146" t="str">
        <f t="shared" si="2"/>
        <v>Março</v>
      </c>
    </row>
    <row r="147" spans="1:19" hidden="1" x14ac:dyDescent="0.3">
      <c r="A147">
        <v>146</v>
      </c>
      <c r="B147" s="1">
        <v>43912</v>
      </c>
      <c r="C147">
        <v>88</v>
      </c>
      <c r="D147" t="s">
        <v>31</v>
      </c>
      <c r="E147" t="s">
        <v>95</v>
      </c>
      <c r="F147">
        <v>49</v>
      </c>
      <c r="G147" s="2">
        <v>113</v>
      </c>
      <c r="H147" s="2">
        <v>5537</v>
      </c>
      <c r="I147" s="1">
        <v>0.02</v>
      </c>
      <c r="J147" s="2">
        <v>5426.26</v>
      </c>
      <c r="K147" s="1">
        <v>43931</v>
      </c>
      <c r="L147" s="1">
        <v>43931</v>
      </c>
      <c r="M147">
        <v>146</v>
      </c>
      <c r="N147">
        <v>7</v>
      </c>
      <c r="O147" t="s">
        <v>42</v>
      </c>
      <c r="P147" s="3">
        <v>0.08</v>
      </c>
      <c r="Q147" s="2">
        <v>434.10080000000005</v>
      </c>
      <c r="R147">
        <v>6</v>
      </c>
      <c r="S147" t="str">
        <f t="shared" si="2"/>
        <v>Março</v>
      </c>
    </row>
    <row r="148" spans="1:19" hidden="1" x14ac:dyDescent="0.3">
      <c r="A148">
        <v>147</v>
      </c>
      <c r="B148" s="1">
        <v>43912</v>
      </c>
      <c r="C148">
        <v>59</v>
      </c>
      <c r="D148" t="s">
        <v>84</v>
      </c>
      <c r="E148" t="s">
        <v>99</v>
      </c>
      <c r="F148">
        <v>50</v>
      </c>
      <c r="G148" s="2">
        <v>103</v>
      </c>
      <c r="H148" s="2">
        <v>5150</v>
      </c>
      <c r="I148" s="1">
        <v>0.02</v>
      </c>
      <c r="J148" s="2">
        <v>5047</v>
      </c>
      <c r="K148" s="1">
        <v>43914</v>
      </c>
      <c r="L148" s="1">
        <v>43914</v>
      </c>
      <c r="M148">
        <v>147</v>
      </c>
      <c r="N148">
        <v>3</v>
      </c>
      <c r="O148" t="s">
        <v>30</v>
      </c>
      <c r="P148" s="3">
        <v>0.06</v>
      </c>
      <c r="Q148" s="2">
        <v>302.82</v>
      </c>
      <c r="R148">
        <v>7</v>
      </c>
      <c r="S148" t="str">
        <f t="shared" si="2"/>
        <v>Março</v>
      </c>
    </row>
    <row r="149" spans="1:19" hidden="1" x14ac:dyDescent="0.3">
      <c r="A149">
        <v>148</v>
      </c>
      <c r="B149" s="1">
        <v>43912</v>
      </c>
      <c r="C149">
        <v>91</v>
      </c>
      <c r="D149" t="s">
        <v>49</v>
      </c>
      <c r="E149" t="s">
        <v>96</v>
      </c>
      <c r="F149">
        <v>34</v>
      </c>
      <c r="G149" s="2">
        <v>117</v>
      </c>
      <c r="H149" s="2">
        <v>3978</v>
      </c>
      <c r="I149" s="1">
        <v>0.14000000000000001</v>
      </c>
      <c r="J149" s="2">
        <v>3421.08</v>
      </c>
      <c r="K149" s="1">
        <v>43913</v>
      </c>
      <c r="L149" s="1">
        <v>43913</v>
      </c>
      <c r="M149">
        <v>148</v>
      </c>
      <c r="N149">
        <v>6</v>
      </c>
      <c r="O149" t="s">
        <v>56</v>
      </c>
      <c r="P149" s="3">
        <v>0.06</v>
      </c>
      <c r="Q149" s="2">
        <v>205.26479999999998</v>
      </c>
      <c r="R149">
        <v>1</v>
      </c>
      <c r="S149" t="str">
        <f t="shared" si="2"/>
        <v>Março</v>
      </c>
    </row>
    <row r="150" spans="1:19" hidden="1" x14ac:dyDescent="0.3">
      <c r="A150">
        <v>149</v>
      </c>
      <c r="B150" s="1">
        <v>43912</v>
      </c>
      <c r="C150">
        <v>54</v>
      </c>
      <c r="D150" t="s">
        <v>66</v>
      </c>
      <c r="E150" t="s">
        <v>96</v>
      </c>
      <c r="F150">
        <v>35</v>
      </c>
      <c r="G150" s="2">
        <v>93</v>
      </c>
      <c r="H150" s="2">
        <v>3255</v>
      </c>
      <c r="I150" s="1">
        <v>0.02</v>
      </c>
      <c r="J150" s="2">
        <v>3189.9</v>
      </c>
      <c r="K150" s="1">
        <v>43934</v>
      </c>
      <c r="L150" s="1">
        <v>43934</v>
      </c>
      <c r="M150">
        <v>149</v>
      </c>
      <c r="N150">
        <v>6</v>
      </c>
      <c r="O150" t="s">
        <v>18</v>
      </c>
      <c r="P150" s="3">
        <v>0.05</v>
      </c>
      <c r="Q150" s="2">
        <v>159.495</v>
      </c>
      <c r="R150">
        <v>2</v>
      </c>
      <c r="S150" t="str">
        <f t="shared" si="2"/>
        <v>Março</v>
      </c>
    </row>
    <row r="151" spans="1:19" hidden="1" x14ac:dyDescent="0.3">
      <c r="A151">
        <v>150</v>
      </c>
      <c r="B151" s="1">
        <v>43913</v>
      </c>
      <c r="C151">
        <v>71</v>
      </c>
      <c r="D151" t="s">
        <v>17</v>
      </c>
      <c r="E151" t="s">
        <v>96</v>
      </c>
      <c r="F151">
        <v>40</v>
      </c>
      <c r="G151" s="2">
        <v>113</v>
      </c>
      <c r="H151" s="2">
        <v>4520</v>
      </c>
      <c r="I151" s="1">
        <v>0</v>
      </c>
      <c r="J151" s="2">
        <v>4520</v>
      </c>
      <c r="K151" s="1">
        <v>43942</v>
      </c>
      <c r="L151" s="1">
        <v>43942</v>
      </c>
      <c r="M151">
        <v>150</v>
      </c>
      <c r="N151">
        <v>6</v>
      </c>
      <c r="O151" t="s">
        <v>56</v>
      </c>
      <c r="P151" s="3">
        <v>0.08</v>
      </c>
      <c r="Q151" s="2">
        <v>361.6</v>
      </c>
      <c r="R151">
        <v>3</v>
      </c>
      <c r="S151" t="str">
        <f t="shared" si="2"/>
        <v>Março</v>
      </c>
    </row>
    <row r="152" spans="1:19" hidden="1" x14ac:dyDescent="0.3">
      <c r="A152">
        <v>151</v>
      </c>
      <c r="B152" s="1">
        <v>43915</v>
      </c>
      <c r="C152">
        <v>29</v>
      </c>
      <c r="D152" t="s">
        <v>85</v>
      </c>
      <c r="E152" t="s">
        <v>101</v>
      </c>
      <c r="F152">
        <v>14</v>
      </c>
      <c r="G152" s="2">
        <v>119</v>
      </c>
      <c r="H152" s="2">
        <v>1666</v>
      </c>
      <c r="I152" s="1">
        <v>7.0000000000000007E-2</v>
      </c>
      <c r="J152" s="2">
        <v>1549.38</v>
      </c>
      <c r="K152" s="1">
        <v>43933</v>
      </c>
      <c r="L152" s="1">
        <v>43933</v>
      </c>
      <c r="M152">
        <v>151</v>
      </c>
      <c r="N152">
        <v>3</v>
      </c>
      <c r="O152" t="s">
        <v>23</v>
      </c>
      <c r="P152" s="3">
        <v>0.05</v>
      </c>
      <c r="Q152" s="2">
        <v>77.469000000000008</v>
      </c>
      <c r="R152">
        <v>4</v>
      </c>
      <c r="S152" t="str">
        <f t="shared" si="2"/>
        <v>Março</v>
      </c>
    </row>
    <row r="153" spans="1:19" hidden="1" x14ac:dyDescent="0.3">
      <c r="A153">
        <v>152</v>
      </c>
      <c r="B153" s="1">
        <v>43915</v>
      </c>
      <c r="C153">
        <v>91</v>
      </c>
      <c r="D153" t="s">
        <v>49</v>
      </c>
      <c r="E153" t="s">
        <v>103</v>
      </c>
      <c r="F153">
        <v>11</v>
      </c>
      <c r="G153" s="2">
        <v>109</v>
      </c>
      <c r="H153" s="2">
        <v>1199</v>
      </c>
      <c r="I153" s="1">
        <v>0.06</v>
      </c>
      <c r="J153" s="2">
        <v>1127.06</v>
      </c>
      <c r="K153" s="1">
        <v>43922</v>
      </c>
      <c r="L153" s="1">
        <v>43922</v>
      </c>
      <c r="M153">
        <v>152</v>
      </c>
      <c r="N153">
        <v>1</v>
      </c>
      <c r="O153" t="s">
        <v>38</v>
      </c>
      <c r="P153" s="3">
        <v>0.08</v>
      </c>
      <c r="Q153" s="2">
        <v>90.1648</v>
      </c>
      <c r="R153">
        <v>5</v>
      </c>
      <c r="S153" t="str">
        <f t="shared" si="2"/>
        <v>Março</v>
      </c>
    </row>
    <row r="154" spans="1:19" hidden="1" x14ac:dyDescent="0.3">
      <c r="A154">
        <v>153</v>
      </c>
      <c r="B154" s="1">
        <v>43915</v>
      </c>
      <c r="C154">
        <v>36</v>
      </c>
      <c r="D154" t="s">
        <v>57</v>
      </c>
      <c r="E154" t="s">
        <v>97</v>
      </c>
      <c r="F154">
        <v>34</v>
      </c>
      <c r="G154" s="2">
        <v>112</v>
      </c>
      <c r="H154" s="2">
        <v>3808</v>
      </c>
      <c r="I154" s="1">
        <v>0.12</v>
      </c>
      <c r="J154" s="2">
        <v>3351.04</v>
      </c>
      <c r="K154" s="1">
        <v>43929</v>
      </c>
      <c r="L154" s="1">
        <v>43929</v>
      </c>
      <c r="M154">
        <v>153</v>
      </c>
      <c r="N154">
        <v>1</v>
      </c>
      <c r="O154" t="s">
        <v>27</v>
      </c>
      <c r="P154" s="3">
        <v>0.05</v>
      </c>
      <c r="Q154" s="2">
        <v>167.55200000000002</v>
      </c>
      <c r="R154">
        <v>6</v>
      </c>
      <c r="S154" t="str">
        <f t="shared" si="2"/>
        <v>Março</v>
      </c>
    </row>
    <row r="155" spans="1:19" hidden="1" x14ac:dyDescent="0.3">
      <c r="A155">
        <v>154</v>
      </c>
      <c r="B155" s="1">
        <v>43915</v>
      </c>
      <c r="C155">
        <v>71</v>
      </c>
      <c r="D155" t="s">
        <v>17</v>
      </c>
      <c r="E155" t="s">
        <v>99</v>
      </c>
      <c r="F155">
        <v>23</v>
      </c>
      <c r="G155" s="2">
        <v>117</v>
      </c>
      <c r="H155" s="2">
        <v>2691</v>
      </c>
      <c r="I155" s="1">
        <v>0.03</v>
      </c>
      <c r="J155" s="2">
        <v>2610.27</v>
      </c>
      <c r="K155" s="1">
        <v>43945</v>
      </c>
      <c r="L155" s="1">
        <v>43945</v>
      </c>
      <c r="M155">
        <v>154</v>
      </c>
      <c r="N155">
        <v>4</v>
      </c>
      <c r="O155" t="s">
        <v>23</v>
      </c>
      <c r="P155" s="3">
        <v>0.08</v>
      </c>
      <c r="Q155" s="2">
        <v>208.82159999999999</v>
      </c>
      <c r="R155">
        <v>7</v>
      </c>
      <c r="S155" t="str">
        <f t="shared" si="2"/>
        <v>Março</v>
      </c>
    </row>
    <row r="156" spans="1:19" hidden="1" x14ac:dyDescent="0.3">
      <c r="A156">
        <v>155</v>
      </c>
      <c r="B156" s="1">
        <v>43915</v>
      </c>
      <c r="C156">
        <v>4</v>
      </c>
      <c r="D156" t="s">
        <v>73</v>
      </c>
      <c r="E156" t="s">
        <v>100</v>
      </c>
      <c r="F156">
        <v>31</v>
      </c>
      <c r="G156" s="2">
        <v>94</v>
      </c>
      <c r="H156" s="2">
        <v>2914</v>
      </c>
      <c r="I156" s="1">
        <v>0.11</v>
      </c>
      <c r="J156" s="2">
        <v>2593.46</v>
      </c>
      <c r="K156" s="1">
        <v>43926</v>
      </c>
      <c r="L156" s="1">
        <v>43926</v>
      </c>
      <c r="M156">
        <v>155</v>
      </c>
      <c r="N156">
        <v>3</v>
      </c>
      <c r="O156" t="s">
        <v>18</v>
      </c>
      <c r="P156" s="3">
        <v>0.1</v>
      </c>
      <c r="Q156" s="2">
        <v>259.346</v>
      </c>
      <c r="R156">
        <v>1</v>
      </c>
      <c r="S156" t="str">
        <f t="shared" si="2"/>
        <v>Março</v>
      </c>
    </row>
    <row r="157" spans="1:19" hidden="1" x14ac:dyDescent="0.3">
      <c r="A157">
        <v>156</v>
      </c>
      <c r="B157" s="1">
        <v>43915</v>
      </c>
      <c r="C157">
        <v>75</v>
      </c>
      <c r="D157" t="s">
        <v>31</v>
      </c>
      <c r="E157" t="s">
        <v>103</v>
      </c>
      <c r="F157">
        <v>42</v>
      </c>
      <c r="G157" s="2">
        <v>98</v>
      </c>
      <c r="H157" s="2">
        <v>4116</v>
      </c>
      <c r="I157" s="1">
        <v>0.15</v>
      </c>
      <c r="J157" s="2">
        <v>3498.6</v>
      </c>
      <c r="K157" s="1">
        <v>43917</v>
      </c>
      <c r="L157" s="1">
        <v>43917</v>
      </c>
      <c r="M157">
        <v>156</v>
      </c>
      <c r="N157">
        <v>6</v>
      </c>
      <c r="O157" t="s">
        <v>27</v>
      </c>
      <c r="P157" s="3">
        <v>0.08</v>
      </c>
      <c r="Q157" s="2">
        <v>279.88799999999998</v>
      </c>
      <c r="R157">
        <v>2</v>
      </c>
      <c r="S157" t="str">
        <f t="shared" si="2"/>
        <v>Março</v>
      </c>
    </row>
    <row r="158" spans="1:19" hidden="1" x14ac:dyDescent="0.3">
      <c r="A158">
        <v>157</v>
      </c>
      <c r="B158" s="1">
        <v>43917</v>
      </c>
      <c r="C158">
        <v>12</v>
      </c>
      <c r="D158" t="s">
        <v>37</v>
      </c>
      <c r="E158" t="s">
        <v>97</v>
      </c>
      <c r="F158">
        <v>48</v>
      </c>
      <c r="G158" s="2">
        <v>109</v>
      </c>
      <c r="H158" s="2">
        <v>5232</v>
      </c>
      <c r="I158" s="1">
        <v>0.04</v>
      </c>
      <c r="J158" s="2">
        <v>5022.72</v>
      </c>
      <c r="K158" s="1">
        <v>43945</v>
      </c>
      <c r="L158" s="1">
        <v>43945</v>
      </c>
      <c r="M158">
        <v>157</v>
      </c>
      <c r="N158">
        <v>1</v>
      </c>
      <c r="O158" t="s">
        <v>18</v>
      </c>
      <c r="P158" s="3">
        <v>0.08</v>
      </c>
      <c r="Q158" s="2">
        <v>401.81760000000003</v>
      </c>
      <c r="R158">
        <v>3</v>
      </c>
      <c r="S158" t="str">
        <f t="shared" si="2"/>
        <v>Março</v>
      </c>
    </row>
    <row r="159" spans="1:19" hidden="1" x14ac:dyDescent="0.3">
      <c r="A159">
        <v>158</v>
      </c>
      <c r="B159" s="1">
        <v>43918</v>
      </c>
      <c r="C159">
        <v>97</v>
      </c>
      <c r="D159" t="s">
        <v>53</v>
      </c>
      <c r="E159" t="s">
        <v>96</v>
      </c>
      <c r="F159">
        <v>16</v>
      </c>
      <c r="G159" s="2">
        <v>97</v>
      </c>
      <c r="H159" s="2">
        <v>1552</v>
      </c>
      <c r="I159" s="1">
        <v>0.09</v>
      </c>
      <c r="J159" s="2">
        <v>1412.32</v>
      </c>
      <c r="K159" s="1">
        <v>43942</v>
      </c>
      <c r="L159" s="1">
        <v>43942</v>
      </c>
      <c r="M159">
        <v>158</v>
      </c>
      <c r="N159">
        <v>6</v>
      </c>
      <c r="O159" t="s">
        <v>18</v>
      </c>
      <c r="P159" s="3">
        <v>0.06</v>
      </c>
      <c r="Q159" s="2">
        <v>84.739199999999997</v>
      </c>
      <c r="R159">
        <v>4</v>
      </c>
      <c r="S159" t="str">
        <f t="shared" si="2"/>
        <v>Março</v>
      </c>
    </row>
    <row r="160" spans="1:19" hidden="1" x14ac:dyDescent="0.3">
      <c r="A160">
        <v>159</v>
      </c>
      <c r="B160" s="1">
        <v>43918</v>
      </c>
      <c r="C160">
        <v>38</v>
      </c>
      <c r="D160" t="s">
        <v>60</v>
      </c>
      <c r="E160" t="s">
        <v>99</v>
      </c>
      <c r="F160">
        <v>50</v>
      </c>
      <c r="G160" s="2">
        <v>111</v>
      </c>
      <c r="H160" s="2">
        <v>5550</v>
      </c>
      <c r="I160" s="1">
        <v>0.1</v>
      </c>
      <c r="J160" s="2">
        <v>4995</v>
      </c>
      <c r="K160" s="1">
        <v>43946</v>
      </c>
      <c r="L160" s="1">
        <v>43946</v>
      </c>
      <c r="M160">
        <v>159</v>
      </c>
      <c r="N160">
        <v>1</v>
      </c>
      <c r="O160" t="s">
        <v>20</v>
      </c>
      <c r="P160" s="3">
        <v>0.05</v>
      </c>
      <c r="Q160" s="2">
        <v>249.75</v>
      </c>
      <c r="R160">
        <v>5</v>
      </c>
      <c r="S160" t="str">
        <f t="shared" si="2"/>
        <v>Março</v>
      </c>
    </row>
    <row r="161" spans="1:19" hidden="1" x14ac:dyDescent="0.3">
      <c r="A161">
        <v>160</v>
      </c>
      <c r="B161" s="1">
        <v>43918</v>
      </c>
      <c r="C161">
        <v>16</v>
      </c>
      <c r="D161" t="s">
        <v>22</v>
      </c>
      <c r="E161" t="s">
        <v>99</v>
      </c>
      <c r="F161">
        <v>45</v>
      </c>
      <c r="G161" s="2">
        <v>90</v>
      </c>
      <c r="H161" s="2">
        <v>4050</v>
      </c>
      <c r="I161" s="1">
        <v>0.04</v>
      </c>
      <c r="J161" s="2">
        <v>3888</v>
      </c>
      <c r="K161" s="1">
        <v>43927</v>
      </c>
      <c r="L161" s="1">
        <v>43927</v>
      </c>
      <c r="M161">
        <v>160</v>
      </c>
      <c r="N161">
        <v>6</v>
      </c>
      <c r="O161" t="s">
        <v>25</v>
      </c>
      <c r="P161" s="3">
        <v>7.0000000000000007E-2</v>
      </c>
      <c r="Q161" s="2">
        <v>272.16000000000003</v>
      </c>
      <c r="R161">
        <v>6</v>
      </c>
      <c r="S161" t="str">
        <f t="shared" si="2"/>
        <v>Março</v>
      </c>
    </row>
    <row r="162" spans="1:19" hidden="1" x14ac:dyDescent="0.3">
      <c r="A162">
        <v>161</v>
      </c>
      <c r="B162" s="1">
        <v>43918</v>
      </c>
      <c r="C162">
        <v>90</v>
      </c>
      <c r="D162" t="s">
        <v>47</v>
      </c>
      <c r="E162" t="s">
        <v>99</v>
      </c>
      <c r="F162">
        <v>28</v>
      </c>
      <c r="G162" s="2">
        <v>91</v>
      </c>
      <c r="H162" s="2">
        <v>2548</v>
      </c>
      <c r="I162" s="1">
        <v>0.13</v>
      </c>
      <c r="J162" s="2">
        <v>2216.7600000000002</v>
      </c>
      <c r="K162" s="1">
        <v>43924</v>
      </c>
      <c r="L162" s="1">
        <v>43924</v>
      </c>
      <c r="M162">
        <v>161</v>
      </c>
      <c r="N162">
        <v>7</v>
      </c>
      <c r="O162" t="s">
        <v>20</v>
      </c>
      <c r="P162" s="3">
        <v>7.0000000000000007E-2</v>
      </c>
      <c r="Q162" s="2">
        <v>155.17320000000004</v>
      </c>
      <c r="R162">
        <v>7</v>
      </c>
      <c r="S162" t="str">
        <f t="shared" si="2"/>
        <v>Março</v>
      </c>
    </row>
    <row r="163" spans="1:19" hidden="1" x14ac:dyDescent="0.3">
      <c r="A163">
        <v>162</v>
      </c>
      <c r="B163" s="1">
        <v>43919</v>
      </c>
      <c r="C163">
        <v>73</v>
      </c>
      <c r="D163" t="s">
        <v>31</v>
      </c>
      <c r="E163" t="s">
        <v>98</v>
      </c>
      <c r="F163">
        <v>25</v>
      </c>
      <c r="G163" s="2">
        <v>115</v>
      </c>
      <c r="H163" s="2">
        <v>2875</v>
      </c>
      <c r="I163" s="1">
        <v>0.13</v>
      </c>
      <c r="J163" s="2">
        <v>2501.25</v>
      </c>
      <c r="K163" s="1">
        <v>43940</v>
      </c>
      <c r="L163" s="1">
        <v>43940</v>
      </c>
      <c r="M163">
        <v>162</v>
      </c>
      <c r="N163">
        <v>4</v>
      </c>
      <c r="O163" t="s">
        <v>25</v>
      </c>
      <c r="P163" s="3">
        <v>0.09</v>
      </c>
      <c r="Q163" s="2">
        <v>225.11249999999998</v>
      </c>
      <c r="R163">
        <v>1</v>
      </c>
      <c r="S163" t="str">
        <f t="shared" si="2"/>
        <v>Março</v>
      </c>
    </row>
    <row r="164" spans="1:19" hidden="1" x14ac:dyDescent="0.3">
      <c r="A164">
        <v>163</v>
      </c>
      <c r="B164" s="1">
        <v>43920</v>
      </c>
      <c r="C164">
        <v>34</v>
      </c>
      <c r="D164" t="s">
        <v>46</v>
      </c>
      <c r="E164" t="s">
        <v>95</v>
      </c>
      <c r="F164">
        <v>39</v>
      </c>
      <c r="G164" s="2">
        <v>106</v>
      </c>
      <c r="H164" s="2">
        <v>4134</v>
      </c>
      <c r="I164" s="1">
        <v>0.05</v>
      </c>
      <c r="J164" s="2">
        <v>3927.3</v>
      </c>
      <c r="K164" s="1">
        <v>43944</v>
      </c>
      <c r="L164" s="1">
        <v>43944</v>
      </c>
      <c r="M164">
        <v>163</v>
      </c>
      <c r="N164">
        <v>3</v>
      </c>
      <c r="O164" t="s">
        <v>42</v>
      </c>
      <c r="P164" s="3">
        <v>0.1</v>
      </c>
      <c r="Q164" s="2">
        <v>392.73</v>
      </c>
      <c r="R164">
        <v>2</v>
      </c>
      <c r="S164" t="str">
        <f t="shared" si="2"/>
        <v>Março</v>
      </c>
    </row>
    <row r="165" spans="1:19" hidden="1" x14ac:dyDescent="0.3">
      <c r="A165">
        <v>164</v>
      </c>
      <c r="B165" s="1">
        <v>43920</v>
      </c>
      <c r="C165">
        <v>79</v>
      </c>
      <c r="D165" t="s">
        <v>26</v>
      </c>
      <c r="E165" t="s">
        <v>103</v>
      </c>
      <c r="F165">
        <v>15</v>
      </c>
      <c r="G165" s="2">
        <v>100</v>
      </c>
      <c r="H165" s="2">
        <v>1500</v>
      </c>
      <c r="I165" s="1">
        <v>7.0000000000000007E-2</v>
      </c>
      <c r="J165" s="2">
        <v>1395</v>
      </c>
      <c r="K165" s="1">
        <v>43946</v>
      </c>
      <c r="L165" s="1">
        <v>43946</v>
      </c>
      <c r="M165">
        <v>164</v>
      </c>
      <c r="N165">
        <v>4</v>
      </c>
      <c r="O165" t="s">
        <v>38</v>
      </c>
      <c r="P165" s="3">
        <v>0.09</v>
      </c>
      <c r="Q165" s="2">
        <v>125.55</v>
      </c>
      <c r="R165">
        <v>3</v>
      </c>
      <c r="S165" t="str">
        <f t="shared" si="2"/>
        <v>Março</v>
      </c>
    </row>
    <row r="166" spans="1:19" hidden="1" x14ac:dyDescent="0.3">
      <c r="A166">
        <v>165</v>
      </c>
      <c r="B166" s="1">
        <v>43921</v>
      </c>
      <c r="C166">
        <v>78</v>
      </c>
      <c r="D166" t="s">
        <v>29</v>
      </c>
      <c r="E166" t="s">
        <v>96</v>
      </c>
      <c r="F166">
        <v>21</v>
      </c>
      <c r="G166" s="2">
        <v>119</v>
      </c>
      <c r="H166" s="2">
        <v>2499</v>
      </c>
      <c r="I166" s="1">
        <v>0.02</v>
      </c>
      <c r="J166" s="2">
        <v>2449.02</v>
      </c>
      <c r="K166" s="1">
        <v>43942</v>
      </c>
      <c r="L166" s="1">
        <v>43942</v>
      </c>
      <c r="M166">
        <v>165</v>
      </c>
      <c r="N166">
        <v>4</v>
      </c>
      <c r="O166" t="s">
        <v>56</v>
      </c>
      <c r="P166" s="3">
        <v>0.06</v>
      </c>
      <c r="Q166" s="2">
        <v>146.94119999999998</v>
      </c>
      <c r="R166">
        <v>4</v>
      </c>
      <c r="S166" t="str">
        <f t="shared" si="2"/>
        <v>Março</v>
      </c>
    </row>
    <row r="167" spans="1:19" hidden="1" x14ac:dyDescent="0.3">
      <c r="A167">
        <v>166</v>
      </c>
      <c r="B167" s="1">
        <v>43921</v>
      </c>
      <c r="C167">
        <v>19</v>
      </c>
      <c r="D167" t="s">
        <v>31</v>
      </c>
      <c r="E167" t="s">
        <v>95</v>
      </c>
      <c r="F167">
        <v>14</v>
      </c>
      <c r="G167" s="2">
        <v>116</v>
      </c>
      <c r="H167" s="2">
        <v>1624</v>
      </c>
      <c r="I167" s="1">
        <v>7.0000000000000007E-2</v>
      </c>
      <c r="J167" s="2">
        <v>1510.32</v>
      </c>
      <c r="K167" s="1">
        <v>43929</v>
      </c>
      <c r="L167" s="1">
        <v>43929</v>
      </c>
      <c r="M167">
        <v>166</v>
      </c>
      <c r="N167">
        <v>3</v>
      </c>
      <c r="O167" t="s">
        <v>38</v>
      </c>
      <c r="P167" s="3">
        <v>7.0000000000000007E-2</v>
      </c>
      <c r="Q167" s="2">
        <v>105.72240000000001</v>
      </c>
      <c r="R167">
        <v>5</v>
      </c>
      <c r="S167" t="str">
        <f t="shared" si="2"/>
        <v>Março</v>
      </c>
    </row>
    <row r="168" spans="1:19" hidden="1" x14ac:dyDescent="0.3">
      <c r="A168">
        <v>167</v>
      </c>
      <c r="B168" s="1">
        <v>43921</v>
      </c>
      <c r="C168">
        <v>72</v>
      </c>
      <c r="D168" t="s">
        <v>31</v>
      </c>
      <c r="E168" t="s">
        <v>100</v>
      </c>
      <c r="F168">
        <v>24</v>
      </c>
      <c r="G168" s="2">
        <v>98</v>
      </c>
      <c r="H168" s="2">
        <v>2352</v>
      </c>
      <c r="I168" s="1">
        <v>0.1</v>
      </c>
      <c r="J168" s="2">
        <v>2116.8000000000002</v>
      </c>
      <c r="K168" s="1">
        <v>43931</v>
      </c>
      <c r="L168" s="1">
        <v>43931</v>
      </c>
      <c r="M168">
        <v>167</v>
      </c>
      <c r="N168">
        <v>6</v>
      </c>
      <c r="O168" t="s">
        <v>25</v>
      </c>
      <c r="P168" s="3">
        <v>0.09</v>
      </c>
      <c r="Q168" s="2">
        <v>190.512</v>
      </c>
      <c r="R168">
        <v>6</v>
      </c>
      <c r="S168" t="str">
        <f t="shared" si="2"/>
        <v>Março</v>
      </c>
    </row>
    <row r="169" spans="1:19" hidden="1" x14ac:dyDescent="0.3">
      <c r="A169">
        <v>168</v>
      </c>
      <c r="B169" s="1">
        <v>43921</v>
      </c>
      <c r="C169">
        <v>63</v>
      </c>
      <c r="D169" t="s">
        <v>67</v>
      </c>
      <c r="E169" t="s">
        <v>95</v>
      </c>
      <c r="F169">
        <v>27</v>
      </c>
      <c r="G169" s="2">
        <v>116</v>
      </c>
      <c r="H169" s="2">
        <v>3132</v>
      </c>
      <c r="I169" s="1">
        <v>0</v>
      </c>
      <c r="J169" s="2">
        <v>3132</v>
      </c>
      <c r="K169" s="1">
        <v>43937</v>
      </c>
      <c r="L169" s="1">
        <v>43937</v>
      </c>
      <c r="M169">
        <v>168</v>
      </c>
      <c r="N169">
        <v>6</v>
      </c>
      <c r="O169" t="s">
        <v>18</v>
      </c>
      <c r="P169" s="3">
        <v>0.05</v>
      </c>
      <c r="Q169" s="2">
        <v>156.60000000000002</v>
      </c>
      <c r="R169">
        <v>7</v>
      </c>
      <c r="S169" t="str">
        <f t="shared" si="2"/>
        <v>Março</v>
      </c>
    </row>
    <row r="170" spans="1:19" hidden="1" x14ac:dyDescent="0.3">
      <c r="A170">
        <v>169</v>
      </c>
      <c r="B170" s="1">
        <v>43922</v>
      </c>
      <c r="C170">
        <v>90</v>
      </c>
      <c r="D170" t="s">
        <v>47</v>
      </c>
      <c r="E170" t="s">
        <v>96</v>
      </c>
      <c r="F170">
        <v>31</v>
      </c>
      <c r="G170" s="2">
        <v>103</v>
      </c>
      <c r="H170" s="2">
        <v>3193</v>
      </c>
      <c r="I170" s="1">
        <v>0.11</v>
      </c>
      <c r="J170" s="2">
        <v>2841.77</v>
      </c>
      <c r="K170" s="1">
        <v>43922</v>
      </c>
      <c r="L170" s="1">
        <v>43922</v>
      </c>
      <c r="M170">
        <v>169</v>
      </c>
      <c r="N170">
        <v>5</v>
      </c>
      <c r="O170" t="s">
        <v>23</v>
      </c>
      <c r="P170" s="3">
        <v>0.1</v>
      </c>
      <c r="Q170" s="2">
        <v>284.17700000000002</v>
      </c>
      <c r="R170">
        <v>1</v>
      </c>
      <c r="S170" t="str">
        <f t="shared" si="2"/>
        <v>Abril</v>
      </c>
    </row>
    <row r="171" spans="1:19" hidden="1" x14ac:dyDescent="0.3">
      <c r="A171">
        <v>170</v>
      </c>
      <c r="B171" s="1">
        <v>43922</v>
      </c>
      <c r="C171">
        <v>26</v>
      </c>
      <c r="D171" t="s">
        <v>82</v>
      </c>
      <c r="E171" t="s">
        <v>99</v>
      </c>
      <c r="F171">
        <v>44</v>
      </c>
      <c r="G171" s="2">
        <v>114</v>
      </c>
      <c r="H171" s="2">
        <v>5016</v>
      </c>
      <c r="I171" s="1">
        <v>0.01</v>
      </c>
      <c r="J171" s="2">
        <v>4965.84</v>
      </c>
      <c r="K171" s="1">
        <v>43944</v>
      </c>
      <c r="L171" s="1">
        <v>43944</v>
      </c>
      <c r="M171">
        <v>170</v>
      </c>
      <c r="N171">
        <v>4</v>
      </c>
      <c r="O171" t="s">
        <v>30</v>
      </c>
      <c r="P171" s="3">
        <v>0.05</v>
      </c>
      <c r="Q171" s="2">
        <v>248.29200000000003</v>
      </c>
      <c r="R171">
        <v>2</v>
      </c>
      <c r="S171" t="str">
        <f t="shared" si="2"/>
        <v>Abril</v>
      </c>
    </row>
    <row r="172" spans="1:19" hidden="1" x14ac:dyDescent="0.3">
      <c r="A172">
        <v>171</v>
      </c>
      <c r="B172" s="1">
        <v>43922</v>
      </c>
      <c r="C172">
        <v>86</v>
      </c>
      <c r="D172" t="s">
        <v>77</v>
      </c>
      <c r="E172" t="s">
        <v>102</v>
      </c>
      <c r="F172">
        <v>10</v>
      </c>
      <c r="G172" s="2">
        <v>93</v>
      </c>
      <c r="H172" s="2">
        <v>930</v>
      </c>
      <c r="I172" s="1">
        <v>0.1</v>
      </c>
      <c r="J172" s="2">
        <v>837</v>
      </c>
      <c r="K172" s="1">
        <v>43927</v>
      </c>
      <c r="L172" s="1">
        <v>43927</v>
      </c>
      <c r="M172">
        <v>171</v>
      </c>
      <c r="N172">
        <v>7</v>
      </c>
      <c r="O172" t="s">
        <v>23</v>
      </c>
      <c r="P172" s="3">
        <v>7.0000000000000007E-2</v>
      </c>
      <c r="Q172" s="2">
        <v>58.59</v>
      </c>
      <c r="R172">
        <v>3</v>
      </c>
      <c r="S172" t="str">
        <f t="shared" si="2"/>
        <v>Abril</v>
      </c>
    </row>
    <row r="173" spans="1:19" hidden="1" x14ac:dyDescent="0.3">
      <c r="A173">
        <v>172</v>
      </c>
      <c r="B173" s="1">
        <v>43922</v>
      </c>
      <c r="C173">
        <v>4</v>
      </c>
      <c r="D173" t="s">
        <v>73</v>
      </c>
      <c r="E173" t="s">
        <v>102</v>
      </c>
      <c r="F173">
        <v>22</v>
      </c>
      <c r="G173" s="2">
        <v>116</v>
      </c>
      <c r="H173" s="2">
        <v>2552</v>
      </c>
      <c r="I173" s="1">
        <v>0.03</v>
      </c>
      <c r="J173" s="2">
        <v>2475.44</v>
      </c>
      <c r="K173" s="1">
        <v>43938</v>
      </c>
      <c r="L173" s="1">
        <v>43938</v>
      </c>
      <c r="M173">
        <v>172</v>
      </c>
      <c r="N173">
        <v>3</v>
      </c>
      <c r="O173" t="s">
        <v>25</v>
      </c>
      <c r="P173" s="3">
        <v>0.06</v>
      </c>
      <c r="Q173" s="2">
        <v>148.5264</v>
      </c>
      <c r="R173">
        <v>4</v>
      </c>
      <c r="S173" t="str">
        <f t="shared" si="2"/>
        <v>Abril</v>
      </c>
    </row>
    <row r="174" spans="1:19" hidden="1" x14ac:dyDescent="0.3">
      <c r="A174">
        <v>173</v>
      </c>
      <c r="B174" s="1">
        <v>43922</v>
      </c>
      <c r="C174">
        <v>88</v>
      </c>
      <c r="D174" t="s">
        <v>31</v>
      </c>
      <c r="E174" t="s">
        <v>96</v>
      </c>
      <c r="F174">
        <v>49</v>
      </c>
      <c r="G174" s="2">
        <v>109</v>
      </c>
      <c r="H174" s="2">
        <v>5341</v>
      </c>
      <c r="I174" s="1">
        <v>0.01</v>
      </c>
      <c r="J174" s="2">
        <v>5287.59</v>
      </c>
      <c r="K174" s="1">
        <v>43922</v>
      </c>
      <c r="L174" s="1">
        <v>43922</v>
      </c>
      <c r="M174">
        <v>173</v>
      </c>
      <c r="N174">
        <v>3</v>
      </c>
      <c r="O174" t="s">
        <v>20</v>
      </c>
      <c r="P174" s="3">
        <v>0.09</v>
      </c>
      <c r="Q174" s="2">
        <v>475.88310000000001</v>
      </c>
      <c r="R174">
        <v>5</v>
      </c>
      <c r="S174" t="str">
        <f t="shared" si="2"/>
        <v>Abril</v>
      </c>
    </row>
    <row r="175" spans="1:19" hidden="1" x14ac:dyDescent="0.3">
      <c r="A175">
        <v>174</v>
      </c>
      <c r="B175" s="1">
        <v>43923</v>
      </c>
      <c r="C175">
        <v>64</v>
      </c>
      <c r="D175" t="s">
        <v>65</v>
      </c>
      <c r="E175" t="s">
        <v>101</v>
      </c>
      <c r="F175">
        <v>47</v>
      </c>
      <c r="G175" s="2">
        <v>107</v>
      </c>
      <c r="H175" s="2">
        <v>5029</v>
      </c>
      <c r="I175" s="1">
        <v>0.09</v>
      </c>
      <c r="J175" s="2">
        <v>4576.3900000000003</v>
      </c>
      <c r="K175" s="1">
        <v>43951</v>
      </c>
      <c r="L175" s="1">
        <v>43951</v>
      </c>
      <c r="M175">
        <v>174</v>
      </c>
      <c r="N175">
        <v>6</v>
      </c>
      <c r="O175" t="s">
        <v>38</v>
      </c>
      <c r="P175" s="3">
        <v>0.06</v>
      </c>
      <c r="Q175" s="2">
        <v>274.58339999999998</v>
      </c>
      <c r="R175">
        <v>6</v>
      </c>
      <c r="S175" t="str">
        <f t="shared" si="2"/>
        <v>Abril</v>
      </c>
    </row>
    <row r="176" spans="1:19" hidden="1" x14ac:dyDescent="0.3">
      <c r="A176">
        <v>175</v>
      </c>
      <c r="B176" s="1">
        <v>43924</v>
      </c>
      <c r="C176">
        <v>52</v>
      </c>
      <c r="D176" t="s">
        <v>19</v>
      </c>
      <c r="E176" t="s">
        <v>97</v>
      </c>
      <c r="F176">
        <v>44</v>
      </c>
      <c r="G176" s="2">
        <v>104</v>
      </c>
      <c r="H176" s="2">
        <v>4576</v>
      </c>
      <c r="I176" s="1">
        <v>0</v>
      </c>
      <c r="J176" s="2">
        <v>4576</v>
      </c>
      <c r="K176" s="1">
        <v>43942</v>
      </c>
      <c r="L176" s="1">
        <v>43942</v>
      </c>
      <c r="M176">
        <v>175</v>
      </c>
      <c r="N176">
        <v>5</v>
      </c>
      <c r="O176" t="s">
        <v>27</v>
      </c>
      <c r="P176" s="3">
        <v>0.06</v>
      </c>
      <c r="Q176" s="2">
        <v>274.56</v>
      </c>
      <c r="R176">
        <v>7</v>
      </c>
      <c r="S176" t="str">
        <f t="shared" si="2"/>
        <v>Abril</v>
      </c>
    </row>
    <row r="177" spans="1:19" hidden="1" x14ac:dyDescent="0.3">
      <c r="A177">
        <v>176</v>
      </c>
      <c r="B177" s="1">
        <v>43926</v>
      </c>
      <c r="C177">
        <v>70</v>
      </c>
      <c r="D177" t="s">
        <v>54</v>
      </c>
      <c r="E177" t="s">
        <v>97</v>
      </c>
      <c r="F177">
        <v>15</v>
      </c>
      <c r="G177" s="2">
        <v>101</v>
      </c>
      <c r="H177" s="2">
        <v>1515</v>
      </c>
      <c r="I177" s="1">
        <v>0.1</v>
      </c>
      <c r="J177" s="2">
        <v>1363.5</v>
      </c>
      <c r="K177" s="1">
        <v>43937</v>
      </c>
      <c r="L177" s="1">
        <v>43937</v>
      </c>
      <c r="M177">
        <v>176</v>
      </c>
      <c r="N177">
        <v>6</v>
      </c>
      <c r="O177" t="s">
        <v>42</v>
      </c>
      <c r="P177" s="3">
        <v>7.0000000000000007E-2</v>
      </c>
      <c r="Q177" s="2">
        <v>95.445000000000007</v>
      </c>
      <c r="R177">
        <v>1</v>
      </c>
      <c r="S177" t="str">
        <f t="shared" si="2"/>
        <v>Abril</v>
      </c>
    </row>
    <row r="178" spans="1:19" hidden="1" x14ac:dyDescent="0.3">
      <c r="A178">
        <v>177</v>
      </c>
      <c r="B178" s="1">
        <v>43927</v>
      </c>
      <c r="C178">
        <v>74</v>
      </c>
      <c r="D178" t="s">
        <v>31</v>
      </c>
      <c r="E178" t="s">
        <v>96</v>
      </c>
      <c r="F178">
        <v>28</v>
      </c>
      <c r="G178" s="2">
        <v>98</v>
      </c>
      <c r="H178" s="2">
        <v>2744</v>
      </c>
      <c r="I178" s="1">
        <v>0.08</v>
      </c>
      <c r="J178" s="2">
        <v>2524.48</v>
      </c>
      <c r="K178" s="1">
        <v>43942</v>
      </c>
      <c r="L178" s="1">
        <v>43942</v>
      </c>
      <c r="M178">
        <v>177</v>
      </c>
      <c r="N178">
        <v>4</v>
      </c>
      <c r="O178" t="s">
        <v>30</v>
      </c>
      <c r="P178" s="3">
        <v>0.1</v>
      </c>
      <c r="Q178" s="2">
        <v>252.44800000000001</v>
      </c>
      <c r="R178">
        <v>2</v>
      </c>
      <c r="S178" t="str">
        <f t="shared" si="2"/>
        <v>Abril</v>
      </c>
    </row>
    <row r="179" spans="1:19" hidden="1" x14ac:dyDescent="0.3">
      <c r="A179">
        <v>178</v>
      </c>
      <c r="B179" s="1">
        <v>43928</v>
      </c>
      <c r="C179">
        <v>1</v>
      </c>
      <c r="D179" t="s">
        <v>80</v>
      </c>
      <c r="E179" t="s">
        <v>100</v>
      </c>
      <c r="F179">
        <v>34</v>
      </c>
      <c r="G179" s="2">
        <v>92</v>
      </c>
      <c r="H179" s="2">
        <v>3128</v>
      </c>
      <c r="I179" s="1">
        <v>0.03</v>
      </c>
      <c r="J179" s="2">
        <v>3034.16</v>
      </c>
      <c r="K179" s="1">
        <v>43943</v>
      </c>
      <c r="L179" s="1">
        <v>43943</v>
      </c>
      <c r="M179">
        <v>178</v>
      </c>
      <c r="N179">
        <v>1</v>
      </c>
      <c r="O179" t="s">
        <v>25</v>
      </c>
      <c r="P179" s="3">
        <v>0.06</v>
      </c>
      <c r="Q179" s="2">
        <v>182.0496</v>
      </c>
      <c r="R179">
        <v>3</v>
      </c>
      <c r="S179" t="str">
        <f t="shared" si="2"/>
        <v>Abril</v>
      </c>
    </row>
    <row r="180" spans="1:19" hidden="1" x14ac:dyDescent="0.3">
      <c r="A180">
        <v>179</v>
      </c>
      <c r="B180" s="1">
        <v>43930</v>
      </c>
      <c r="C180">
        <v>87</v>
      </c>
      <c r="D180" t="s">
        <v>33</v>
      </c>
      <c r="E180" t="s">
        <v>98</v>
      </c>
      <c r="F180">
        <v>44</v>
      </c>
      <c r="G180" s="2">
        <v>97</v>
      </c>
      <c r="H180" s="2">
        <v>4268</v>
      </c>
      <c r="I180" s="1">
        <v>0.06</v>
      </c>
      <c r="J180" s="2">
        <v>4011.92</v>
      </c>
      <c r="K180" s="1">
        <v>43943</v>
      </c>
      <c r="L180" s="1">
        <v>43943</v>
      </c>
      <c r="M180">
        <v>179</v>
      </c>
      <c r="N180">
        <v>5</v>
      </c>
      <c r="O180" t="s">
        <v>42</v>
      </c>
      <c r="P180" s="3">
        <v>0.09</v>
      </c>
      <c r="Q180" s="2">
        <v>361.07279999999997</v>
      </c>
      <c r="R180">
        <v>4</v>
      </c>
      <c r="S180" t="str">
        <f t="shared" si="2"/>
        <v>Abril</v>
      </c>
    </row>
    <row r="181" spans="1:19" hidden="1" x14ac:dyDescent="0.3">
      <c r="A181">
        <v>180</v>
      </c>
      <c r="B181" s="1">
        <v>43930</v>
      </c>
      <c r="C181">
        <v>2</v>
      </c>
      <c r="D181" t="s">
        <v>28</v>
      </c>
      <c r="E181" t="s">
        <v>103</v>
      </c>
      <c r="F181">
        <v>30</v>
      </c>
      <c r="G181" s="2">
        <v>96</v>
      </c>
      <c r="H181" s="2">
        <v>2880</v>
      </c>
      <c r="I181" s="1">
        <v>0.15</v>
      </c>
      <c r="J181" s="2">
        <v>2448</v>
      </c>
      <c r="K181" s="1">
        <v>43947</v>
      </c>
      <c r="L181" s="1">
        <v>43947</v>
      </c>
      <c r="M181">
        <v>180</v>
      </c>
      <c r="N181">
        <v>3</v>
      </c>
      <c r="O181" t="s">
        <v>30</v>
      </c>
      <c r="P181" s="3">
        <v>0.06</v>
      </c>
      <c r="Q181" s="2">
        <v>146.88</v>
      </c>
      <c r="R181">
        <v>5</v>
      </c>
      <c r="S181" t="str">
        <f t="shared" si="2"/>
        <v>Abril</v>
      </c>
    </row>
    <row r="182" spans="1:19" hidden="1" x14ac:dyDescent="0.3">
      <c r="A182">
        <v>181</v>
      </c>
      <c r="B182" s="1">
        <v>43931</v>
      </c>
      <c r="C182">
        <v>11</v>
      </c>
      <c r="D182" t="s">
        <v>47</v>
      </c>
      <c r="E182" t="s">
        <v>102</v>
      </c>
      <c r="F182">
        <v>35</v>
      </c>
      <c r="G182" s="2">
        <v>93</v>
      </c>
      <c r="H182" s="2">
        <v>3255</v>
      </c>
      <c r="I182" s="1">
        <v>0.06</v>
      </c>
      <c r="J182" s="2">
        <v>3059.7</v>
      </c>
      <c r="K182" s="1">
        <v>43955</v>
      </c>
      <c r="L182" s="1">
        <v>43955</v>
      </c>
      <c r="M182">
        <v>181</v>
      </c>
      <c r="N182">
        <v>3</v>
      </c>
      <c r="O182" t="s">
        <v>56</v>
      </c>
      <c r="P182" s="3">
        <v>7.0000000000000007E-2</v>
      </c>
      <c r="Q182" s="2">
        <v>214.179</v>
      </c>
      <c r="R182">
        <v>6</v>
      </c>
      <c r="S182" t="str">
        <f t="shared" si="2"/>
        <v>Abril</v>
      </c>
    </row>
    <row r="183" spans="1:19" hidden="1" x14ac:dyDescent="0.3">
      <c r="A183">
        <v>182</v>
      </c>
      <c r="B183" s="1">
        <v>43931</v>
      </c>
      <c r="C183">
        <v>22</v>
      </c>
      <c r="D183" t="s">
        <v>41</v>
      </c>
      <c r="E183" t="s">
        <v>95</v>
      </c>
      <c r="F183">
        <v>12</v>
      </c>
      <c r="G183" s="2">
        <v>98</v>
      </c>
      <c r="H183" s="2">
        <v>1176</v>
      </c>
      <c r="I183" s="1">
        <v>0.02</v>
      </c>
      <c r="J183" s="2">
        <v>1152.48</v>
      </c>
      <c r="K183" s="1">
        <v>43960</v>
      </c>
      <c r="L183" s="1">
        <v>43960</v>
      </c>
      <c r="M183">
        <v>182</v>
      </c>
      <c r="N183">
        <v>7</v>
      </c>
      <c r="O183" t="s">
        <v>42</v>
      </c>
      <c r="P183" s="3">
        <v>0.09</v>
      </c>
      <c r="Q183" s="2">
        <v>103.72319999999999</v>
      </c>
      <c r="R183">
        <v>7</v>
      </c>
      <c r="S183" t="str">
        <f t="shared" si="2"/>
        <v>Abril</v>
      </c>
    </row>
    <row r="184" spans="1:19" hidden="1" x14ac:dyDescent="0.3">
      <c r="A184">
        <v>183</v>
      </c>
      <c r="B184" s="1">
        <v>43931</v>
      </c>
      <c r="C184">
        <v>82</v>
      </c>
      <c r="D184" t="s">
        <v>54</v>
      </c>
      <c r="E184" t="s">
        <v>98</v>
      </c>
      <c r="F184">
        <v>27</v>
      </c>
      <c r="G184" s="2">
        <v>98</v>
      </c>
      <c r="H184" s="2">
        <v>2646</v>
      </c>
      <c r="I184" s="1">
        <v>0.04</v>
      </c>
      <c r="J184" s="2">
        <v>2540.16</v>
      </c>
      <c r="K184" s="1">
        <v>43957</v>
      </c>
      <c r="L184" s="1">
        <v>43957</v>
      </c>
      <c r="M184">
        <v>183</v>
      </c>
      <c r="N184">
        <v>3</v>
      </c>
      <c r="O184" t="s">
        <v>25</v>
      </c>
      <c r="P184" s="3">
        <v>0.06</v>
      </c>
      <c r="Q184" s="2">
        <v>152.40959999999998</v>
      </c>
      <c r="R184">
        <v>1</v>
      </c>
      <c r="S184" t="str">
        <f t="shared" si="2"/>
        <v>Abril</v>
      </c>
    </row>
    <row r="185" spans="1:19" hidden="1" x14ac:dyDescent="0.3">
      <c r="A185">
        <v>184</v>
      </c>
      <c r="B185" s="1">
        <v>43932</v>
      </c>
      <c r="C185">
        <v>43</v>
      </c>
      <c r="D185" t="s">
        <v>86</v>
      </c>
      <c r="E185" t="s">
        <v>96</v>
      </c>
      <c r="F185">
        <v>26</v>
      </c>
      <c r="G185" s="2">
        <v>96</v>
      </c>
      <c r="H185" s="2">
        <v>2496</v>
      </c>
      <c r="I185" s="1">
        <v>0.05</v>
      </c>
      <c r="J185" s="2">
        <v>2371.1999999999998</v>
      </c>
      <c r="K185" s="1">
        <v>43941</v>
      </c>
      <c r="L185" s="1">
        <v>43941</v>
      </c>
      <c r="M185">
        <v>184</v>
      </c>
      <c r="N185">
        <v>5</v>
      </c>
      <c r="O185" t="s">
        <v>42</v>
      </c>
      <c r="P185" s="3">
        <v>0.09</v>
      </c>
      <c r="Q185" s="2">
        <v>213.40799999999999</v>
      </c>
      <c r="R185">
        <v>2</v>
      </c>
      <c r="S185" t="str">
        <f t="shared" si="2"/>
        <v>Abril</v>
      </c>
    </row>
    <row r="186" spans="1:19" hidden="1" x14ac:dyDescent="0.3">
      <c r="A186">
        <v>185</v>
      </c>
      <c r="B186" s="1">
        <v>43932</v>
      </c>
      <c r="C186">
        <v>56</v>
      </c>
      <c r="D186" t="s">
        <v>54</v>
      </c>
      <c r="E186" t="s">
        <v>95</v>
      </c>
      <c r="F186">
        <v>21</v>
      </c>
      <c r="G186" s="2">
        <v>105</v>
      </c>
      <c r="H186" s="2">
        <v>2205</v>
      </c>
      <c r="I186" s="1">
        <v>0.04</v>
      </c>
      <c r="J186" s="2">
        <v>2116.8000000000002</v>
      </c>
      <c r="K186" s="1">
        <v>43960</v>
      </c>
      <c r="L186" s="1">
        <v>43960</v>
      </c>
      <c r="M186">
        <v>185</v>
      </c>
      <c r="N186">
        <v>2</v>
      </c>
      <c r="O186" t="s">
        <v>27</v>
      </c>
      <c r="P186" s="3">
        <v>0.09</v>
      </c>
      <c r="Q186" s="2">
        <v>190.512</v>
      </c>
      <c r="R186">
        <v>3</v>
      </c>
      <c r="S186" t="str">
        <f t="shared" si="2"/>
        <v>Abril</v>
      </c>
    </row>
    <row r="187" spans="1:19" hidden="1" x14ac:dyDescent="0.3">
      <c r="A187">
        <v>186</v>
      </c>
      <c r="B187" s="1">
        <v>43933</v>
      </c>
      <c r="C187">
        <v>70</v>
      </c>
      <c r="D187" t="s">
        <v>54</v>
      </c>
      <c r="E187" t="s">
        <v>103</v>
      </c>
      <c r="F187">
        <v>28</v>
      </c>
      <c r="G187" s="2">
        <v>105</v>
      </c>
      <c r="H187" s="2">
        <v>2940</v>
      </c>
      <c r="I187" s="1">
        <v>0.05</v>
      </c>
      <c r="J187" s="2">
        <v>2793</v>
      </c>
      <c r="K187" s="1">
        <v>43960</v>
      </c>
      <c r="L187" s="1">
        <v>43960</v>
      </c>
      <c r="M187">
        <v>186</v>
      </c>
      <c r="N187">
        <v>1</v>
      </c>
      <c r="O187" t="s">
        <v>42</v>
      </c>
      <c r="P187" s="3">
        <v>7.0000000000000007E-2</v>
      </c>
      <c r="Q187" s="2">
        <v>195.51000000000002</v>
      </c>
      <c r="R187">
        <v>4</v>
      </c>
      <c r="S187" t="str">
        <f t="shared" si="2"/>
        <v>Abril</v>
      </c>
    </row>
    <row r="188" spans="1:19" hidden="1" x14ac:dyDescent="0.3">
      <c r="A188">
        <v>187</v>
      </c>
      <c r="B188" s="1">
        <v>43934</v>
      </c>
      <c r="C188">
        <v>44</v>
      </c>
      <c r="D188" t="s">
        <v>58</v>
      </c>
      <c r="E188" t="s">
        <v>101</v>
      </c>
      <c r="F188">
        <v>29</v>
      </c>
      <c r="G188" s="2">
        <v>97</v>
      </c>
      <c r="H188" s="2">
        <v>2813</v>
      </c>
      <c r="I188" s="1">
        <v>0.02</v>
      </c>
      <c r="J188" s="2">
        <v>2756.74</v>
      </c>
      <c r="K188" s="1">
        <v>43963</v>
      </c>
      <c r="L188" s="1">
        <v>43963</v>
      </c>
      <c r="M188">
        <v>187</v>
      </c>
      <c r="N188">
        <v>5</v>
      </c>
      <c r="O188" t="s">
        <v>42</v>
      </c>
      <c r="P188" s="3">
        <v>0.09</v>
      </c>
      <c r="Q188" s="2">
        <v>248.10659999999996</v>
      </c>
      <c r="R188">
        <v>5</v>
      </c>
      <c r="S188" t="str">
        <f t="shared" si="2"/>
        <v>Abril</v>
      </c>
    </row>
    <row r="189" spans="1:19" x14ac:dyDescent="0.3">
      <c r="A189">
        <v>188</v>
      </c>
      <c r="B189" s="1">
        <v>43934</v>
      </c>
      <c r="C189">
        <v>83</v>
      </c>
      <c r="D189" t="s">
        <v>87</v>
      </c>
      <c r="E189" t="s">
        <v>99</v>
      </c>
      <c r="F189">
        <v>16</v>
      </c>
      <c r="G189" s="2">
        <v>110</v>
      </c>
      <c r="H189" s="2">
        <v>1760</v>
      </c>
      <c r="I189" s="1">
        <v>0.05</v>
      </c>
      <c r="J189" s="2">
        <v>1672</v>
      </c>
      <c r="K189" s="1">
        <v>43955</v>
      </c>
      <c r="L189" s="1">
        <v>43955</v>
      </c>
      <c r="M189">
        <v>188</v>
      </c>
      <c r="N189">
        <v>4</v>
      </c>
      <c r="O189" t="s">
        <v>35</v>
      </c>
      <c r="P189" s="3">
        <v>0.06</v>
      </c>
      <c r="Q189" s="2">
        <v>100.32</v>
      </c>
      <c r="R189">
        <v>6</v>
      </c>
      <c r="S189" t="str">
        <f t="shared" si="2"/>
        <v>Abril</v>
      </c>
    </row>
    <row r="190" spans="1:19" hidden="1" x14ac:dyDescent="0.3">
      <c r="A190">
        <v>189</v>
      </c>
      <c r="B190" s="1">
        <v>43935</v>
      </c>
      <c r="C190">
        <v>48</v>
      </c>
      <c r="D190" t="s">
        <v>48</v>
      </c>
      <c r="E190" t="s">
        <v>103</v>
      </c>
      <c r="F190">
        <v>47</v>
      </c>
      <c r="G190" s="2">
        <v>117</v>
      </c>
      <c r="H190" s="2">
        <v>5499</v>
      </c>
      <c r="I190" s="1">
        <v>0.11</v>
      </c>
      <c r="J190" s="2">
        <v>4894.1099999999997</v>
      </c>
      <c r="K190" s="1">
        <v>43956</v>
      </c>
      <c r="L190" s="1">
        <v>43956</v>
      </c>
      <c r="M190">
        <v>189</v>
      </c>
      <c r="N190">
        <v>2</v>
      </c>
      <c r="O190" t="s">
        <v>25</v>
      </c>
      <c r="P190" s="3">
        <v>0.09</v>
      </c>
      <c r="Q190" s="2">
        <v>440.46989999999994</v>
      </c>
      <c r="R190">
        <v>7</v>
      </c>
      <c r="S190" t="str">
        <f t="shared" si="2"/>
        <v>Abril</v>
      </c>
    </row>
    <row r="191" spans="1:19" x14ac:dyDescent="0.3">
      <c r="A191">
        <v>190</v>
      </c>
      <c r="B191" s="1">
        <v>43935</v>
      </c>
      <c r="C191">
        <v>2</v>
      </c>
      <c r="D191" t="s">
        <v>28</v>
      </c>
      <c r="E191" t="s">
        <v>104</v>
      </c>
      <c r="F191">
        <v>40</v>
      </c>
      <c r="G191" s="2">
        <v>110</v>
      </c>
      <c r="H191" s="2">
        <v>4400</v>
      </c>
      <c r="I191" s="1">
        <v>0</v>
      </c>
      <c r="J191" s="2">
        <v>4400</v>
      </c>
      <c r="K191" s="1">
        <v>43941</v>
      </c>
      <c r="L191" s="1">
        <v>43941</v>
      </c>
      <c r="M191">
        <v>190</v>
      </c>
      <c r="N191">
        <v>1</v>
      </c>
      <c r="O191" t="s">
        <v>35</v>
      </c>
      <c r="P191" s="3">
        <v>0.09</v>
      </c>
      <c r="Q191" s="2">
        <v>396</v>
      </c>
      <c r="R191">
        <v>1</v>
      </c>
      <c r="S191" t="str">
        <f t="shared" si="2"/>
        <v>Abril</v>
      </c>
    </row>
    <row r="192" spans="1:19" hidden="1" x14ac:dyDescent="0.3">
      <c r="A192">
        <v>191</v>
      </c>
      <c r="B192" s="1">
        <v>43935</v>
      </c>
      <c r="C192">
        <v>89</v>
      </c>
      <c r="D192" t="s">
        <v>40</v>
      </c>
      <c r="E192" t="s">
        <v>100</v>
      </c>
      <c r="F192">
        <v>37</v>
      </c>
      <c r="G192" s="2">
        <v>106</v>
      </c>
      <c r="H192" s="2">
        <v>3922</v>
      </c>
      <c r="I192" s="1">
        <v>0.04</v>
      </c>
      <c r="J192" s="2">
        <v>3765.12</v>
      </c>
      <c r="K192" s="1">
        <v>43961</v>
      </c>
      <c r="L192" s="1">
        <v>43961</v>
      </c>
      <c r="M192">
        <v>191</v>
      </c>
      <c r="N192">
        <v>6</v>
      </c>
      <c r="O192" t="s">
        <v>23</v>
      </c>
      <c r="P192" s="3">
        <v>0.06</v>
      </c>
      <c r="Q192" s="2">
        <v>225.90719999999999</v>
      </c>
      <c r="R192">
        <v>2</v>
      </c>
      <c r="S192" t="str">
        <f t="shared" si="2"/>
        <v>Abril</v>
      </c>
    </row>
    <row r="193" spans="1:19" x14ac:dyDescent="0.3">
      <c r="A193">
        <v>192</v>
      </c>
      <c r="B193" s="1">
        <v>43936</v>
      </c>
      <c r="C193">
        <v>35</v>
      </c>
      <c r="D193" t="s">
        <v>31</v>
      </c>
      <c r="E193" t="s">
        <v>97</v>
      </c>
      <c r="F193">
        <v>44</v>
      </c>
      <c r="G193" s="2">
        <v>115</v>
      </c>
      <c r="H193" s="2">
        <v>5060</v>
      </c>
      <c r="I193" s="1">
        <v>0.13</v>
      </c>
      <c r="J193" s="2">
        <v>4402.2</v>
      </c>
      <c r="K193" s="1">
        <v>43965</v>
      </c>
      <c r="L193" s="1">
        <v>43965</v>
      </c>
      <c r="M193">
        <v>192</v>
      </c>
      <c r="N193">
        <v>2</v>
      </c>
      <c r="O193" t="s">
        <v>35</v>
      </c>
      <c r="P193" s="3">
        <v>0.1</v>
      </c>
      <c r="Q193" s="2">
        <v>440.22</v>
      </c>
      <c r="R193">
        <v>3</v>
      </c>
      <c r="S193" t="str">
        <f t="shared" si="2"/>
        <v>Abril</v>
      </c>
    </row>
    <row r="194" spans="1:19" hidden="1" x14ac:dyDescent="0.3">
      <c r="A194">
        <v>193</v>
      </c>
      <c r="B194" s="1">
        <v>43938</v>
      </c>
      <c r="C194">
        <v>62</v>
      </c>
      <c r="D194" t="s">
        <v>31</v>
      </c>
      <c r="E194" t="s">
        <v>103</v>
      </c>
      <c r="F194">
        <v>26</v>
      </c>
      <c r="G194" s="2">
        <v>110</v>
      </c>
      <c r="H194" s="2">
        <v>2860</v>
      </c>
      <c r="I194" s="1">
        <v>0.15</v>
      </c>
      <c r="J194" s="2">
        <v>2431</v>
      </c>
      <c r="K194" s="1">
        <v>43950</v>
      </c>
      <c r="L194" s="1">
        <v>43950</v>
      </c>
      <c r="M194">
        <v>193</v>
      </c>
      <c r="N194">
        <v>5</v>
      </c>
      <c r="O194" t="s">
        <v>38</v>
      </c>
      <c r="P194" s="3">
        <v>0.1</v>
      </c>
      <c r="Q194" s="2">
        <v>243.10000000000002</v>
      </c>
      <c r="R194">
        <v>4</v>
      </c>
      <c r="S194" t="str">
        <f t="shared" si="2"/>
        <v>Abril</v>
      </c>
    </row>
    <row r="195" spans="1:19" hidden="1" x14ac:dyDescent="0.3">
      <c r="A195">
        <v>194</v>
      </c>
      <c r="B195" s="1">
        <v>43939</v>
      </c>
      <c r="C195">
        <v>69</v>
      </c>
      <c r="D195" t="s">
        <v>54</v>
      </c>
      <c r="E195" t="s">
        <v>99</v>
      </c>
      <c r="F195">
        <v>28</v>
      </c>
      <c r="G195" s="2">
        <v>90</v>
      </c>
      <c r="H195" s="2">
        <v>2520</v>
      </c>
      <c r="I195" s="1">
        <v>0.01</v>
      </c>
      <c r="J195" s="2">
        <v>2494.8000000000002</v>
      </c>
      <c r="K195" s="1">
        <v>43956</v>
      </c>
      <c r="L195" s="1">
        <v>43956</v>
      </c>
      <c r="M195">
        <v>194</v>
      </c>
      <c r="N195">
        <v>6</v>
      </c>
      <c r="O195" t="s">
        <v>42</v>
      </c>
      <c r="P195" s="3">
        <v>0.08</v>
      </c>
      <c r="Q195" s="2">
        <v>199.58400000000003</v>
      </c>
      <c r="R195">
        <v>5</v>
      </c>
      <c r="S195" t="str">
        <f t="shared" ref="S195:S258" si="3">PROPER(TEXT(B195,"mmmm"))</f>
        <v>Abril</v>
      </c>
    </row>
    <row r="196" spans="1:19" hidden="1" x14ac:dyDescent="0.3">
      <c r="A196">
        <v>195</v>
      </c>
      <c r="B196" s="1">
        <v>43939</v>
      </c>
      <c r="C196">
        <v>88</v>
      </c>
      <c r="D196" t="s">
        <v>31</v>
      </c>
      <c r="E196" t="s">
        <v>104</v>
      </c>
      <c r="F196">
        <v>15</v>
      </c>
      <c r="G196" s="2">
        <v>90</v>
      </c>
      <c r="H196" s="2">
        <v>1350</v>
      </c>
      <c r="I196" s="1">
        <v>0.14000000000000001</v>
      </c>
      <c r="J196" s="2">
        <v>1161</v>
      </c>
      <c r="K196" s="1">
        <v>43968</v>
      </c>
      <c r="L196" s="1">
        <v>43968</v>
      </c>
      <c r="M196">
        <v>195</v>
      </c>
      <c r="N196">
        <v>6</v>
      </c>
      <c r="O196" t="s">
        <v>20</v>
      </c>
      <c r="P196" s="3">
        <v>0.08</v>
      </c>
      <c r="Q196" s="2">
        <v>92.88</v>
      </c>
      <c r="R196">
        <v>6</v>
      </c>
      <c r="S196" t="str">
        <f t="shared" si="3"/>
        <v>Abril</v>
      </c>
    </row>
    <row r="197" spans="1:19" hidden="1" x14ac:dyDescent="0.3">
      <c r="A197">
        <v>196</v>
      </c>
      <c r="B197" s="1">
        <v>43940</v>
      </c>
      <c r="C197">
        <v>10</v>
      </c>
      <c r="D197" t="s">
        <v>76</v>
      </c>
      <c r="E197" t="s">
        <v>98</v>
      </c>
      <c r="F197">
        <v>37</v>
      </c>
      <c r="G197" s="2">
        <v>118</v>
      </c>
      <c r="H197" s="2">
        <v>4366</v>
      </c>
      <c r="I197" s="1">
        <v>0.06</v>
      </c>
      <c r="J197" s="2">
        <v>4104.04</v>
      </c>
      <c r="K197" s="1">
        <v>43962</v>
      </c>
      <c r="L197" s="1">
        <v>43962</v>
      </c>
      <c r="M197">
        <v>196</v>
      </c>
      <c r="N197">
        <v>3</v>
      </c>
      <c r="O197" t="s">
        <v>56</v>
      </c>
      <c r="P197" s="3">
        <v>0.1</v>
      </c>
      <c r="Q197" s="2">
        <v>410.404</v>
      </c>
      <c r="R197">
        <v>7</v>
      </c>
      <c r="S197" t="str">
        <f t="shared" si="3"/>
        <v>Abril</v>
      </c>
    </row>
    <row r="198" spans="1:19" hidden="1" x14ac:dyDescent="0.3">
      <c r="A198">
        <v>197</v>
      </c>
      <c r="B198" s="1">
        <v>43940</v>
      </c>
      <c r="C198">
        <v>48</v>
      </c>
      <c r="D198" t="s">
        <v>48</v>
      </c>
      <c r="E198" t="s">
        <v>96</v>
      </c>
      <c r="F198">
        <v>33</v>
      </c>
      <c r="G198" s="2">
        <v>108</v>
      </c>
      <c r="H198" s="2">
        <v>3564</v>
      </c>
      <c r="I198" s="1">
        <v>0.12</v>
      </c>
      <c r="J198" s="2">
        <v>3136.32</v>
      </c>
      <c r="K198" s="1">
        <v>43952</v>
      </c>
      <c r="L198" s="1">
        <v>43952</v>
      </c>
      <c r="M198">
        <v>197</v>
      </c>
      <c r="N198">
        <v>7</v>
      </c>
      <c r="O198" t="s">
        <v>38</v>
      </c>
      <c r="P198" s="3">
        <v>7.0000000000000007E-2</v>
      </c>
      <c r="Q198" s="2">
        <v>219.54240000000004</v>
      </c>
      <c r="R198">
        <v>1</v>
      </c>
      <c r="S198" t="str">
        <f t="shared" si="3"/>
        <v>Abril</v>
      </c>
    </row>
    <row r="199" spans="1:19" hidden="1" x14ac:dyDescent="0.3">
      <c r="A199">
        <v>198</v>
      </c>
      <c r="B199" s="1">
        <v>43942</v>
      </c>
      <c r="C199">
        <v>48</v>
      </c>
      <c r="D199" t="s">
        <v>48</v>
      </c>
      <c r="E199" t="s">
        <v>98</v>
      </c>
      <c r="F199">
        <v>16</v>
      </c>
      <c r="G199" s="2">
        <v>114</v>
      </c>
      <c r="H199" s="2">
        <v>1824</v>
      </c>
      <c r="I199" s="1">
        <v>0.12</v>
      </c>
      <c r="J199" s="2">
        <v>1605.12</v>
      </c>
      <c r="K199" s="1">
        <v>43963</v>
      </c>
      <c r="L199" s="1">
        <v>43963</v>
      </c>
      <c r="M199">
        <v>198</v>
      </c>
      <c r="N199">
        <v>6</v>
      </c>
      <c r="O199" t="s">
        <v>20</v>
      </c>
      <c r="P199" s="3">
        <v>0.05</v>
      </c>
      <c r="Q199" s="2">
        <v>80.256</v>
      </c>
      <c r="R199">
        <v>2</v>
      </c>
      <c r="S199" t="str">
        <f t="shared" si="3"/>
        <v>Abril</v>
      </c>
    </row>
    <row r="200" spans="1:19" hidden="1" x14ac:dyDescent="0.3">
      <c r="A200">
        <v>199</v>
      </c>
      <c r="B200" s="1">
        <v>43942</v>
      </c>
      <c r="C200">
        <v>91</v>
      </c>
      <c r="D200" t="s">
        <v>49</v>
      </c>
      <c r="E200" t="s">
        <v>104</v>
      </c>
      <c r="F200">
        <v>48</v>
      </c>
      <c r="G200" s="2">
        <v>109</v>
      </c>
      <c r="H200" s="2">
        <v>5232</v>
      </c>
      <c r="I200" s="1">
        <v>0.01</v>
      </c>
      <c r="J200" s="2">
        <v>5179.68</v>
      </c>
      <c r="K200" s="1">
        <v>43955</v>
      </c>
      <c r="L200" s="1">
        <v>43955</v>
      </c>
      <c r="M200">
        <v>199</v>
      </c>
      <c r="N200">
        <v>6</v>
      </c>
      <c r="O200" t="s">
        <v>23</v>
      </c>
      <c r="P200" s="3">
        <v>0.09</v>
      </c>
      <c r="Q200" s="2">
        <v>466.1712</v>
      </c>
      <c r="R200">
        <v>3</v>
      </c>
      <c r="S200" t="str">
        <f t="shared" si="3"/>
        <v>Abril</v>
      </c>
    </row>
    <row r="201" spans="1:19" hidden="1" x14ac:dyDescent="0.3">
      <c r="A201">
        <v>200</v>
      </c>
      <c r="B201" s="1">
        <v>43942</v>
      </c>
      <c r="C201">
        <v>91</v>
      </c>
      <c r="D201" t="s">
        <v>49</v>
      </c>
      <c r="E201" t="s">
        <v>102</v>
      </c>
      <c r="F201">
        <v>41</v>
      </c>
      <c r="G201" s="2">
        <v>95</v>
      </c>
      <c r="H201" s="2">
        <v>3895</v>
      </c>
      <c r="I201" s="1">
        <v>0.15</v>
      </c>
      <c r="J201" s="2">
        <v>3310.75</v>
      </c>
      <c r="K201" s="1">
        <v>43957</v>
      </c>
      <c r="L201" s="1">
        <v>43957</v>
      </c>
      <c r="M201">
        <v>200</v>
      </c>
      <c r="N201">
        <v>3</v>
      </c>
      <c r="O201" t="s">
        <v>18</v>
      </c>
      <c r="P201" s="3">
        <v>0.08</v>
      </c>
      <c r="Q201" s="2">
        <v>264.86</v>
      </c>
      <c r="R201">
        <v>4</v>
      </c>
      <c r="S201" t="str">
        <f t="shared" si="3"/>
        <v>Abril</v>
      </c>
    </row>
    <row r="202" spans="1:19" hidden="1" x14ac:dyDescent="0.3">
      <c r="A202">
        <v>201</v>
      </c>
      <c r="B202" s="1">
        <v>43943</v>
      </c>
      <c r="C202">
        <v>65</v>
      </c>
      <c r="D202" t="s">
        <v>51</v>
      </c>
      <c r="E202" t="s">
        <v>95</v>
      </c>
      <c r="F202">
        <v>13</v>
      </c>
      <c r="G202" s="2">
        <v>111</v>
      </c>
      <c r="H202" s="2">
        <v>1443</v>
      </c>
      <c r="I202" s="1">
        <v>0.06</v>
      </c>
      <c r="J202" s="2">
        <v>1356.42</v>
      </c>
      <c r="K202" s="1">
        <v>43956</v>
      </c>
      <c r="L202" s="1">
        <v>43956</v>
      </c>
      <c r="M202">
        <v>201</v>
      </c>
      <c r="N202">
        <v>5</v>
      </c>
      <c r="O202" t="s">
        <v>20</v>
      </c>
      <c r="P202" s="3">
        <v>7.0000000000000007E-2</v>
      </c>
      <c r="Q202" s="2">
        <v>94.949400000000011</v>
      </c>
      <c r="R202">
        <v>5</v>
      </c>
      <c r="S202" t="str">
        <f t="shared" si="3"/>
        <v>Abril</v>
      </c>
    </row>
    <row r="203" spans="1:19" hidden="1" x14ac:dyDescent="0.3">
      <c r="A203">
        <v>202</v>
      </c>
      <c r="B203" s="1">
        <v>43943</v>
      </c>
      <c r="C203">
        <v>100</v>
      </c>
      <c r="D203" t="s">
        <v>31</v>
      </c>
      <c r="E203" t="s">
        <v>101</v>
      </c>
      <c r="F203">
        <v>35</v>
      </c>
      <c r="G203" s="2">
        <v>92</v>
      </c>
      <c r="H203" s="2">
        <v>3220</v>
      </c>
      <c r="I203" s="1">
        <v>0.02</v>
      </c>
      <c r="J203" s="2">
        <v>3155.6</v>
      </c>
      <c r="K203" s="1">
        <v>43966</v>
      </c>
      <c r="L203" s="1">
        <v>43966</v>
      </c>
      <c r="M203">
        <v>202</v>
      </c>
      <c r="N203">
        <v>6</v>
      </c>
      <c r="O203" t="s">
        <v>42</v>
      </c>
      <c r="P203" s="3">
        <v>7.0000000000000007E-2</v>
      </c>
      <c r="Q203" s="2">
        <v>220.89200000000002</v>
      </c>
      <c r="R203">
        <v>6</v>
      </c>
      <c r="S203" t="str">
        <f t="shared" si="3"/>
        <v>Abril</v>
      </c>
    </row>
    <row r="204" spans="1:19" hidden="1" x14ac:dyDescent="0.3">
      <c r="A204">
        <v>203</v>
      </c>
      <c r="B204" s="1">
        <v>43945</v>
      </c>
      <c r="C204">
        <v>93</v>
      </c>
      <c r="D204" t="s">
        <v>26</v>
      </c>
      <c r="E204" t="s">
        <v>99</v>
      </c>
      <c r="F204">
        <v>20</v>
      </c>
      <c r="G204" s="2">
        <v>111</v>
      </c>
      <c r="H204" s="2">
        <v>2220</v>
      </c>
      <c r="I204" s="1">
        <v>0.14000000000000001</v>
      </c>
      <c r="J204" s="2">
        <v>1909.2</v>
      </c>
      <c r="K204" s="1">
        <v>43975</v>
      </c>
      <c r="L204" s="1">
        <v>43975</v>
      </c>
      <c r="M204">
        <v>203</v>
      </c>
      <c r="N204">
        <v>3</v>
      </c>
      <c r="O204" t="s">
        <v>56</v>
      </c>
      <c r="P204" s="3">
        <v>7.0000000000000007E-2</v>
      </c>
      <c r="Q204" s="2">
        <v>133.64400000000001</v>
      </c>
      <c r="R204">
        <v>7</v>
      </c>
      <c r="S204" t="str">
        <f t="shared" si="3"/>
        <v>Abril</v>
      </c>
    </row>
    <row r="205" spans="1:19" hidden="1" x14ac:dyDescent="0.3">
      <c r="A205">
        <v>204</v>
      </c>
      <c r="B205" s="1">
        <v>43948</v>
      </c>
      <c r="C205">
        <v>37</v>
      </c>
      <c r="D205" t="s">
        <v>39</v>
      </c>
      <c r="E205" t="s">
        <v>102</v>
      </c>
      <c r="F205">
        <v>14</v>
      </c>
      <c r="G205" s="2">
        <v>114</v>
      </c>
      <c r="H205" s="2">
        <v>1596</v>
      </c>
      <c r="I205" s="1">
        <v>0.05</v>
      </c>
      <c r="J205" s="2">
        <v>1516.2</v>
      </c>
      <c r="K205" s="1">
        <v>43958</v>
      </c>
      <c r="L205" s="1">
        <v>43958</v>
      </c>
      <c r="M205">
        <v>204</v>
      </c>
      <c r="N205">
        <v>6</v>
      </c>
      <c r="O205" t="s">
        <v>38</v>
      </c>
      <c r="P205" s="3">
        <v>7.0000000000000007E-2</v>
      </c>
      <c r="Q205" s="2">
        <v>106.13400000000001</v>
      </c>
      <c r="R205">
        <v>1</v>
      </c>
      <c r="S205" t="str">
        <f t="shared" si="3"/>
        <v>Abril</v>
      </c>
    </row>
    <row r="206" spans="1:19" x14ac:dyDescent="0.3">
      <c r="A206">
        <v>205</v>
      </c>
      <c r="B206" s="1">
        <v>43948</v>
      </c>
      <c r="C206">
        <v>72</v>
      </c>
      <c r="D206" t="s">
        <v>31</v>
      </c>
      <c r="E206" t="s">
        <v>97</v>
      </c>
      <c r="F206">
        <v>13</v>
      </c>
      <c r="G206" s="2">
        <v>91</v>
      </c>
      <c r="H206" s="2">
        <v>1183</v>
      </c>
      <c r="I206" s="1">
        <v>0.06</v>
      </c>
      <c r="J206" s="2">
        <v>1112.02</v>
      </c>
      <c r="K206" s="1">
        <v>43977</v>
      </c>
      <c r="L206" s="1">
        <v>43977</v>
      </c>
      <c r="M206">
        <v>205</v>
      </c>
      <c r="N206">
        <v>1</v>
      </c>
      <c r="O206" t="s">
        <v>35</v>
      </c>
      <c r="P206" s="3">
        <v>0.09</v>
      </c>
      <c r="Q206" s="2">
        <v>100.0818</v>
      </c>
      <c r="R206">
        <v>2</v>
      </c>
      <c r="S206" t="str">
        <f t="shared" si="3"/>
        <v>Abril</v>
      </c>
    </row>
    <row r="207" spans="1:19" hidden="1" x14ac:dyDescent="0.3">
      <c r="A207">
        <v>206</v>
      </c>
      <c r="B207" s="1">
        <v>43949</v>
      </c>
      <c r="C207">
        <v>16</v>
      </c>
      <c r="D207" t="s">
        <v>22</v>
      </c>
      <c r="E207" t="s">
        <v>100</v>
      </c>
      <c r="F207">
        <v>34</v>
      </c>
      <c r="G207" s="2">
        <v>113</v>
      </c>
      <c r="H207" s="2">
        <v>3842</v>
      </c>
      <c r="I207" s="1">
        <v>0.09</v>
      </c>
      <c r="J207" s="2">
        <v>3496.2200000000003</v>
      </c>
      <c r="K207" s="1">
        <v>43966</v>
      </c>
      <c r="L207" s="1">
        <v>43966</v>
      </c>
      <c r="M207">
        <v>206</v>
      </c>
      <c r="N207">
        <v>5</v>
      </c>
      <c r="O207" t="s">
        <v>42</v>
      </c>
      <c r="P207" s="3">
        <v>0.08</v>
      </c>
      <c r="Q207" s="2">
        <v>279.69760000000002</v>
      </c>
      <c r="R207">
        <v>3</v>
      </c>
      <c r="S207" t="str">
        <f t="shared" si="3"/>
        <v>Abril</v>
      </c>
    </row>
    <row r="208" spans="1:19" hidden="1" x14ac:dyDescent="0.3">
      <c r="A208">
        <v>207</v>
      </c>
      <c r="B208" s="1">
        <v>43949</v>
      </c>
      <c r="C208">
        <v>57</v>
      </c>
      <c r="D208" t="s">
        <v>76</v>
      </c>
      <c r="E208" t="s">
        <v>97</v>
      </c>
      <c r="F208">
        <v>26</v>
      </c>
      <c r="G208" s="2">
        <v>103</v>
      </c>
      <c r="H208" s="2">
        <v>2678</v>
      </c>
      <c r="I208" s="1">
        <v>0.05</v>
      </c>
      <c r="J208" s="2">
        <v>2544.1</v>
      </c>
      <c r="K208" s="1">
        <v>43971</v>
      </c>
      <c r="L208" s="1">
        <v>43971</v>
      </c>
      <c r="M208">
        <v>207</v>
      </c>
      <c r="N208">
        <v>3</v>
      </c>
      <c r="O208" t="s">
        <v>56</v>
      </c>
      <c r="P208" s="3">
        <v>0.06</v>
      </c>
      <c r="Q208" s="2">
        <v>152.64599999999999</v>
      </c>
      <c r="R208">
        <v>4</v>
      </c>
      <c r="S208" t="str">
        <f t="shared" si="3"/>
        <v>Abril</v>
      </c>
    </row>
    <row r="209" spans="1:19" hidden="1" x14ac:dyDescent="0.3">
      <c r="A209">
        <v>208</v>
      </c>
      <c r="B209" s="1">
        <v>43950</v>
      </c>
      <c r="C209">
        <v>13</v>
      </c>
      <c r="D209" t="s">
        <v>62</v>
      </c>
      <c r="E209" t="s">
        <v>104</v>
      </c>
      <c r="F209">
        <v>26</v>
      </c>
      <c r="G209" s="2">
        <v>112</v>
      </c>
      <c r="H209" s="2">
        <v>2912</v>
      </c>
      <c r="I209" s="1">
        <v>0.08</v>
      </c>
      <c r="J209" s="2">
        <v>2679.04</v>
      </c>
      <c r="K209" s="1">
        <v>43978</v>
      </c>
      <c r="L209" s="1">
        <v>43978</v>
      </c>
      <c r="M209">
        <v>208</v>
      </c>
      <c r="N209">
        <v>6</v>
      </c>
      <c r="O209" t="s">
        <v>23</v>
      </c>
      <c r="P209" s="3">
        <v>7.0000000000000007E-2</v>
      </c>
      <c r="Q209" s="2">
        <v>187.53280000000001</v>
      </c>
      <c r="R209">
        <v>5</v>
      </c>
      <c r="S209" t="str">
        <f t="shared" si="3"/>
        <v>Abril</v>
      </c>
    </row>
    <row r="210" spans="1:19" x14ac:dyDescent="0.3">
      <c r="A210">
        <v>209</v>
      </c>
      <c r="B210" s="1">
        <v>43950</v>
      </c>
      <c r="C210">
        <v>4</v>
      </c>
      <c r="D210" t="s">
        <v>73</v>
      </c>
      <c r="E210" t="s">
        <v>98</v>
      </c>
      <c r="F210">
        <v>13</v>
      </c>
      <c r="G210" s="2">
        <v>90</v>
      </c>
      <c r="H210" s="2">
        <v>1170</v>
      </c>
      <c r="I210" s="1">
        <v>7.0000000000000007E-2</v>
      </c>
      <c r="J210" s="2">
        <v>1088.0999999999999</v>
      </c>
      <c r="K210" s="1">
        <v>43954</v>
      </c>
      <c r="L210" s="1">
        <v>43954</v>
      </c>
      <c r="M210">
        <v>209</v>
      </c>
      <c r="N210">
        <v>1</v>
      </c>
      <c r="O210" t="s">
        <v>35</v>
      </c>
      <c r="P210" s="3">
        <v>7.0000000000000007E-2</v>
      </c>
      <c r="Q210" s="2">
        <v>76.167000000000002</v>
      </c>
      <c r="R210">
        <v>6</v>
      </c>
      <c r="S210" t="str">
        <f t="shared" si="3"/>
        <v>Abril</v>
      </c>
    </row>
    <row r="211" spans="1:19" hidden="1" x14ac:dyDescent="0.3">
      <c r="A211">
        <v>210</v>
      </c>
      <c r="B211" s="1">
        <v>43951</v>
      </c>
      <c r="C211">
        <v>51</v>
      </c>
      <c r="D211" t="s">
        <v>43</v>
      </c>
      <c r="E211" t="s">
        <v>98</v>
      </c>
      <c r="F211">
        <v>44</v>
      </c>
      <c r="G211" s="2">
        <v>113</v>
      </c>
      <c r="H211" s="2">
        <v>4972</v>
      </c>
      <c r="I211" s="1">
        <v>0.15</v>
      </c>
      <c r="J211" s="2">
        <v>4226.2</v>
      </c>
      <c r="K211" s="1">
        <v>43958</v>
      </c>
      <c r="L211" s="1">
        <v>43958</v>
      </c>
      <c r="M211">
        <v>210</v>
      </c>
      <c r="N211">
        <v>5</v>
      </c>
      <c r="O211" t="s">
        <v>56</v>
      </c>
      <c r="P211" s="3">
        <v>7.0000000000000007E-2</v>
      </c>
      <c r="Q211" s="2">
        <v>295.834</v>
      </c>
      <c r="R211">
        <v>7</v>
      </c>
      <c r="S211" t="str">
        <f t="shared" si="3"/>
        <v>Abril</v>
      </c>
    </row>
    <row r="212" spans="1:19" hidden="1" x14ac:dyDescent="0.3">
      <c r="A212">
        <v>211</v>
      </c>
      <c r="B212" s="1">
        <v>43952</v>
      </c>
      <c r="C212">
        <v>22</v>
      </c>
      <c r="D212" t="s">
        <v>41</v>
      </c>
      <c r="E212" t="s">
        <v>101</v>
      </c>
      <c r="F212">
        <v>21</v>
      </c>
      <c r="G212" s="2">
        <v>113</v>
      </c>
      <c r="H212" s="2">
        <v>2373</v>
      </c>
      <c r="I212" s="1">
        <v>0.06</v>
      </c>
      <c r="J212" s="2">
        <v>2230.62</v>
      </c>
      <c r="K212" s="1">
        <v>43972</v>
      </c>
      <c r="L212" s="1">
        <v>43972</v>
      </c>
      <c r="M212">
        <v>211</v>
      </c>
      <c r="N212">
        <v>5</v>
      </c>
      <c r="O212" t="s">
        <v>30</v>
      </c>
      <c r="P212" s="3">
        <v>0.09</v>
      </c>
      <c r="Q212" s="2">
        <v>200.75579999999999</v>
      </c>
      <c r="R212">
        <v>1</v>
      </c>
      <c r="S212" t="str">
        <f t="shared" si="3"/>
        <v>Maio</v>
      </c>
    </row>
    <row r="213" spans="1:19" hidden="1" x14ac:dyDescent="0.3">
      <c r="A213">
        <v>212</v>
      </c>
      <c r="B213" s="1">
        <v>43952</v>
      </c>
      <c r="C213">
        <v>27</v>
      </c>
      <c r="D213" t="s">
        <v>88</v>
      </c>
      <c r="E213" t="s">
        <v>104</v>
      </c>
      <c r="F213">
        <v>17</v>
      </c>
      <c r="G213" s="2">
        <v>90</v>
      </c>
      <c r="H213" s="2">
        <v>1530</v>
      </c>
      <c r="I213" s="1">
        <v>0.09</v>
      </c>
      <c r="J213" s="2">
        <v>1392.3</v>
      </c>
      <c r="K213" s="1">
        <v>43968</v>
      </c>
      <c r="L213" s="1">
        <v>43968</v>
      </c>
      <c r="M213">
        <v>212</v>
      </c>
      <c r="N213">
        <v>3</v>
      </c>
      <c r="O213" t="s">
        <v>18</v>
      </c>
      <c r="P213" s="3">
        <v>0.1</v>
      </c>
      <c r="Q213" s="2">
        <v>139.22999999999999</v>
      </c>
      <c r="R213">
        <v>2</v>
      </c>
      <c r="S213" t="str">
        <f t="shared" si="3"/>
        <v>Maio</v>
      </c>
    </row>
    <row r="214" spans="1:19" hidden="1" x14ac:dyDescent="0.3">
      <c r="A214">
        <v>213</v>
      </c>
      <c r="B214" s="1">
        <v>43952</v>
      </c>
      <c r="C214">
        <v>83</v>
      </c>
      <c r="D214" t="s">
        <v>87</v>
      </c>
      <c r="E214" t="s">
        <v>99</v>
      </c>
      <c r="F214">
        <v>18</v>
      </c>
      <c r="G214" s="2">
        <v>105</v>
      </c>
      <c r="H214" s="2">
        <v>1890</v>
      </c>
      <c r="I214" s="1">
        <v>0.13</v>
      </c>
      <c r="J214" s="2">
        <v>1644.3</v>
      </c>
      <c r="K214" s="1">
        <v>43964</v>
      </c>
      <c r="L214" s="1">
        <v>43964</v>
      </c>
      <c r="M214">
        <v>213</v>
      </c>
      <c r="N214">
        <v>1</v>
      </c>
      <c r="O214" t="s">
        <v>25</v>
      </c>
      <c r="P214" s="3">
        <v>0.05</v>
      </c>
      <c r="Q214" s="2">
        <v>82.215000000000003</v>
      </c>
      <c r="R214">
        <v>3</v>
      </c>
      <c r="S214" t="str">
        <f t="shared" si="3"/>
        <v>Maio</v>
      </c>
    </row>
    <row r="215" spans="1:19" hidden="1" x14ac:dyDescent="0.3">
      <c r="A215">
        <v>214</v>
      </c>
      <c r="B215" s="1">
        <v>43953</v>
      </c>
      <c r="C215">
        <v>38</v>
      </c>
      <c r="D215" t="s">
        <v>60</v>
      </c>
      <c r="E215" t="s">
        <v>100</v>
      </c>
      <c r="F215">
        <v>40</v>
      </c>
      <c r="G215" s="2">
        <v>98</v>
      </c>
      <c r="H215" s="2">
        <v>3920</v>
      </c>
      <c r="I215" s="1">
        <v>0.1</v>
      </c>
      <c r="J215" s="2">
        <v>3528</v>
      </c>
      <c r="K215" s="1">
        <v>43978</v>
      </c>
      <c r="L215" s="1">
        <v>43978</v>
      </c>
      <c r="M215">
        <v>214</v>
      </c>
      <c r="N215">
        <v>7</v>
      </c>
      <c r="O215" t="s">
        <v>38</v>
      </c>
      <c r="P215" s="3">
        <v>7.0000000000000007E-2</v>
      </c>
      <c r="Q215" s="2">
        <v>246.96000000000004</v>
      </c>
      <c r="R215">
        <v>4</v>
      </c>
      <c r="S215" t="str">
        <f t="shared" si="3"/>
        <v>Maio</v>
      </c>
    </row>
    <row r="216" spans="1:19" hidden="1" x14ac:dyDescent="0.3">
      <c r="A216">
        <v>215</v>
      </c>
      <c r="B216" s="1">
        <v>43955</v>
      </c>
      <c r="C216">
        <v>35</v>
      </c>
      <c r="D216" t="s">
        <v>31</v>
      </c>
      <c r="E216" t="s">
        <v>97</v>
      </c>
      <c r="F216">
        <v>13</v>
      </c>
      <c r="G216" s="2">
        <v>99</v>
      </c>
      <c r="H216" s="2">
        <v>1287</v>
      </c>
      <c r="I216" s="1">
        <v>0.04</v>
      </c>
      <c r="J216" s="2">
        <v>1235.52</v>
      </c>
      <c r="K216" s="1">
        <v>43966</v>
      </c>
      <c r="L216" s="1">
        <v>43966</v>
      </c>
      <c r="M216">
        <v>215</v>
      </c>
      <c r="N216">
        <v>1</v>
      </c>
      <c r="O216" t="s">
        <v>30</v>
      </c>
      <c r="P216" s="3">
        <v>0.1</v>
      </c>
      <c r="Q216" s="2">
        <v>123.55200000000001</v>
      </c>
      <c r="R216">
        <v>5</v>
      </c>
      <c r="S216" t="str">
        <f t="shared" si="3"/>
        <v>Maio</v>
      </c>
    </row>
    <row r="217" spans="1:19" hidden="1" x14ac:dyDescent="0.3">
      <c r="A217">
        <v>216</v>
      </c>
      <c r="B217" s="1">
        <v>43955</v>
      </c>
      <c r="C217">
        <v>3</v>
      </c>
      <c r="D217" t="s">
        <v>78</v>
      </c>
      <c r="E217" t="s">
        <v>97</v>
      </c>
      <c r="F217">
        <v>31</v>
      </c>
      <c r="G217" s="2">
        <v>105</v>
      </c>
      <c r="H217" s="2">
        <v>3255</v>
      </c>
      <c r="I217" s="1">
        <v>0.08</v>
      </c>
      <c r="J217" s="2">
        <v>2994.6</v>
      </c>
      <c r="K217" s="1">
        <v>43973</v>
      </c>
      <c r="L217" s="1">
        <v>43973</v>
      </c>
      <c r="M217">
        <v>216</v>
      </c>
      <c r="N217">
        <v>2</v>
      </c>
      <c r="O217" t="s">
        <v>25</v>
      </c>
      <c r="P217" s="3">
        <v>0.09</v>
      </c>
      <c r="Q217" s="2">
        <v>269.51400000000001</v>
      </c>
      <c r="R217">
        <v>6</v>
      </c>
      <c r="S217" t="str">
        <f t="shared" si="3"/>
        <v>Maio</v>
      </c>
    </row>
    <row r="218" spans="1:19" hidden="1" x14ac:dyDescent="0.3">
      <c r="A218">
        <v>217</v>
      </c>
      <c r="B218" s="1">
        <v>43956</v>
      </c>
      <c r="C218">
        <v>25</v>
      </c>
      <c r="D218" t="s">
        <v>50</v>
      </c>
      <c r="E218" t="s">
        <v>95</v>
      </c>
      <c r="F218">
        <v>48</v>
      </c>
      <c r="G218" s="2">
        <v>108</v>
      </c>
      <c r="H218" s="2">
        <v>5184</v>
      </c>
      <c r="I218" s="1">
        <v>0.13</v>
      </c>
      <c r="J218" s="2">
        <v>4510.08</v>
      </c>
      <c r="K218" s="1">
        <v>43974</v>
      </c>
      <c r="L218" s="1">
        <v>43974</v>
      </c>
      <c r="M218">
        <v>217</v>
      </c>
      <c r="N218">
        <v>7</v>
      </c>
      <c r="O218" t="s">
        <v>25</v>
      </c>
      <c r="P218" s="3">
        <v>0.1</v>
      </c>
      <c r="Q218" s="2">
        <v>451.00800000000004</v>
      </c>
      <c r="R218">
        <v>7</v>
      </c>
      <c r="S218" t="str">
        <f t="shared" si="3"/>
        <v>Maio</v>
      </c>
    </row>
    <row r="219" spans="1:19" hidden="1" x14ac:dyDescent="0.3">
      <c r="A219">
        <v>218</v>
      </c>
      <c r="B219" s="1">
        <v>43956</v>
      </c>
      <c r="C219">
        <v>8</v>
      </c>
      <c r="D219" t="s">
        <v>31</v>
      </c>
      <c r="E219" t="s">
        <v>99</v>
      </c>
      <c r="F219">
        <v>18</v>
      </c>
      <c r="G219" s="2">
        <v>90</v>
      </c>
      <c r="H219" s="2">
        <v>1620</v>
      </c>
      <c r="I219" s="1">
        <v>0.15</v>
      </c>
      <c r="J219" s="2">
        <v>1377</v>
      </c>
      <c r="K219" s="1">
        <v>43959</v>
      </c>
      <c r="L219" s="1">
        <v>43959</v>
      </c>
      <c r="M219">
        <v>218</v>
      </c>
      <c r="N219">
        <v>6</v>
      </c>
      <c r="O219" t="s">
        <v>56</v>
      </c>
      <c r="P219" s="3">
        <v>0.08</v>
      </c>
      <c r="Q219" s="2">
        <v>110.16</v>
      </c>
      <c r="R219">
        <v>1</v>
      </c>
      <c r="S219" t="str">
        <f t="shared" si="3"/>
        <v>Maio</v>
      </c>
    </row>
    <row r="220" spans="1:19" x14ac:dyDescent="0.3">
      <c r="A220">
        <v>219</v>
      </c>
      <c r="B220" s="1">
        <v>43957</v>
      </c>
      <c r="C220">
        <v>20</v>
      </c>
      <c r="D220" t="s">
        <v>32</v>
      </c>
      <c r="E220" t="s">
        <v>103</v>
      </c>
      <c r="F220">
        <v>48</v>
      </c>
      <c r="G220" s="2">
        <v>120</v>
      </c>
      <c r="H220" s="2">
        <v>5760</v>
      </c>
      <c r="I220" s="1">
        <v>0.05</v>
      </c>
      <c r="J220" s="2">
        <v>5472</v>
      </c>
      <c r="K220" s="1">
        <v>43957</v>
      </c>
      <c r="L220" s="1">
        <v>43957</v>
      </c>
      <c r="M220">
        <v>219</v>
      </c>
      <c r="N220">
        <v>5</v>
      </c>
      <c r="O220" t="s">
        <v>35</v>
      </c>
      <c r="P220" s="3">
        <v>7.0000000000000007E-2</v>
      </c>
      <c r="Q220" s="2">
        <v>383.04</v>
      </c>
      <c r="R220">
        <v>2</v>
      </c>
      <c r="S220" t="str">
        <f t="shared" si="3"/>
        <v>Maio</v>
      </c>
    </row>
    <row r="221" spans="1:19" hidden="1" x14ac:dyDescent="0.3">
      <c r="A221">
        <v>220</v>
      </c>
      <c r="B221" s="1">
        <v>43958</v>
      </c>
      <c r="C221">
        <v>78</v>
      </c>
      <c r="D221" t="s">
        <v>29</v>
      </c>
      <c r="E221" t="s">
        <v>95</v>
      </c>
      <c r="F221">
        <v>42</v>
      </c>
      <c r="G221" s="2">
        <v>104</v>
      </c>
      <c r="H221" s="2">
        <v>4368</v>
      </c>
      <c r="I221" s="1">
        <v>0.12</v>
      </c>
      <c r="J221" s="2">
        <v>3843.84</v>
      </c>
      <c r="K221" s="1">
        <v>43965</v>
      </c>
      <c r="L221" s="1">
        <v>43965</v>
      </c>
      <c r="M221">
        <v>220</v>
      </c>
      <c r="N221">
        <v>3</v>
      </c>
      <c r="O221" t="s">
        <v>20</v>
      </c>
      <c r="P221" s="3">
        <v>0.06</v>
      </c>
      <c r="Q221" s="2">
        <v>230.63040000000001</v>
      </c>
      <c r="R221">
        <v>3</v>
      </c>
      <c r="S221" t="str">
        <f t="shared" si="3"/>
        <v>Maio</v>
      </c>
    </row>
    <row r="222" spans="1:19" hidden="1" x14ac:dyDescent="0.3">
      <c r="A222">
        <v>221</v>
      </c>
      <c r="B222" s="1">
        <v>43958</v>
      </c>
      <c r="C222">
        <v>99</v>
      </c>
      <c r="D222" t="s">
        <v>71</v>
      </c>
      <c r="E222" t="s">
        <v>101</v>
      </c>
      <c r="F222">
        <v>38</v>
      </c>
      <c r="G222" s="2">
        <v>113</v>
      </c>
      <c r="H222" s="2">
        <v>4294</v>
      </c>
      <c r="I222" s="1">
        <v>0.1</v>
      </c>
      <c r="J222" s="2">
        <v>3864.6</v>
      </c>
      <c r="K222" s="1">
        <v>43976</v>
      </c>
      <c r="L222" s="1">
        <v>43976</v>
      </c>
      <c r="M222">
        <v>221</v>
      </c>
      <c r="N222">
        <v>7</v>
      </c>
      <c r="O222" t="s">
        <v>20</v>
      </c>
      <c r="P222" s="3">
        <v>7.0000000000000007E-2</v>
      </c>
      <c r="Q222" s="2">
        <v>270.52199999999999</v>
      </c>
      <c r="R222">
        <v>4</v>
      </c>
      <c r="S222" t="str">
        <f t="shared" si="3"/>
        <v>Maio</v>
      </c>
    </row>
    <row r="223" spans="1:19" hidden="1" x14ac:dyDescent="0.3">
      <c r="A223">
        <v>222</v>
      </c>
      <c r="B223" s="1">
        <v>43958</v>
      </c>
      <c r="C223">
        <v>98</v>
      </c>
      <c r="D223" t="s">
        <v>21</v>
      </c>
      <c r="E223" t="s">
        <v>103</v>
      </c>
      <c r="F223">
        <v>17</v>
      </c>
      <c r="G223" s="2">
        <v>120</v>
      </c>
      <c r="H223" s="2">
        <v>2040</v>
      </c>
      <c r="I223" s="1">
        <v>0.08</v>
      </c>
      <c r="J223" s="2">
        <v>1876.8</v>
      </c>
      <c r="K223" s="1">
        <v>43967</v>
      </c>
      <c r="L223" s="1">
        <v>43967</v>
      </c>
      <c r="M223">
        <v>222</v>
      </c>
      <c r="N223">
        <v>2</v>
      </c>
      <c r="O223" t="s">
        <v>27</v>
      </c>
      <c r="P223" s="3">
        <v>0.08</v>
      </c>
      <c r="Q223" s="2">
        <v>150.14400000000001</v>
      </c>
      <c r="R223">
        <v>5</v>
      </c>
      <c r="S223" t="str">
        <f t="shared" si="3"/>
        <v>Maio</v>
      </c>
    </row>
    <row r="224" spans="1:19" hidden="1" x14ac:dyDescent="0.3">
      <c r="A224">
        <v>223</v>
      </c>
      <c r="B224" s="1">
        <v>43958</v>
      </c>
      <c r="C224">
        <v>97</v>
      </c>
      <c r="D224" t="s">
        <v>53</v>
      </c>
      <c r="E224" t="s">
        <v>98</v>
      </c>
      <c r="F224">
        <v>25</v>
      </c>
      <c r="G224" s="2">
        <v>117</v>
      </c>
      <c r="H224" s="2">
        <v>2925</v>
      </c>
      <c r="I224" s="1">
        <v>0.01</v>
      </c>
      <c r="J224" s="2">
        <v>2895.75</v>
      </c>
      <c r="K224" s="1">
        <v>43976</v>
      </c>
      <c r="L224" s="1">
        <v>43976</v>
      </c>
      <c r="M224">
        <v>223</v>
      </c>
      <c r="N224">
        <v>5</v>
      </c>
      <c r="O224" t="s">
        <v>30</v>
      </c>
      <c r="P224" s="3">
        <v>0.1</v>
      </c>
      <c r="Q224" s="2">
        <v>289.57499999999999</v>
      </c>
      <c r="R224">
        <v>6</v>
      </c>
      <c r="S224" t="str">
        <f t="shared" si="3"/>
        <v>Maio</v>
      </c>
    </row>
    <row r="225" spans="1:19" hidden="1" x14ac:dyDescent="0.3">
      <c r="A225">
        <v>224</v>
      </c>
      <c r="B225" s="1">
        <v>43959</v>
      </c>
      <c r="C225">
        <v>61</v>
      </c>
      <c r="D225" t="s">
        <v>44</v>
      </c>
      <c r="E225" t="s">
        <v>96</v>
      </c>
      <c r="F225">
        <v>35</v>
      </c>
      <c r="G225" s="2">
        <v>104</v>
      </c>
      <c r="H225" s="2">
        <v>3640</v>
      </c>
      <c r="I225" s="1">
        <v>0.08</v>
      </c>
      <c r="J225" s="2">
        <v>3348.8</v>
      </c>
      <c r="K225" s="1">
        <v>43976</v>
      </c>
      <c r="L225" s="1">
        <v>43976</v>
      </c>
      <c r="M225">
        <v>224</v>
      </c>
      <c r="N225">
        <v>3</v>
      </c>
      <c r="O225" t="s">
        <v>20</v>
      </c>
      <c r="P225" s="3">
        <v>0.05</v>
      </c>
      <c r="Q225" s="2">
        <v>167.44000000000003</v>
      </c>
      <c r="R225">
        <v>7</v>
      </c>
      <c r="S225" t="str">
        <f t="shared" si="3"/>
        <v>Maio</v>
      </c>
    </row>
    <row r="226" spans="1:19" hidden="1" x14ac:dyDescent="0.3">
      <c r="A226">
        <v>225</v>
      </c>
      <c r="B226" s="1">
        <v>43959</v>
      </c>
      <c r="C226">
        <v>46</v>
      </c>
      <c r="D226" t="s">
        <v>81</v>
      </c>
      <c r="E226" t="s">
        <v>95</v>
      </c>
      <c r="F226">
        <v>12</v>
      </c>
      <c r="G226" s="2">
        <v>107</v>
      </c>
      <c r="H226" s="2">
        <v>1284</v>
      </c>
      <c r="I226" s="1">
        <v>0.08</v>
      </c>
      <c r="J226" s="2">
        <v>1181.28</v>
      </c>
      <c r="K226" s="1">
        <v>43974</v>
      </c>
      <c r="L226" s="1">
        <v>43974</v>
      </c>
      <c r="M226">
        <v>225</v>
      </c>
      <c r="N226">
        <v>5</v>
      </c>
      <c r="O226" t="s">
        <v>27</v>
      </c>
      <c r="P226" s="3">
        <v>0.09</v>
      </c>
      <c r="Q226" s="2">
        <v>106.31519999999999</v>
      </c>
      <c r="R226">
        <v>1</v>
      </c>
      <c r="S226" t="str">
        <f t="shared" si="3"/>
        <v>Maio</v>
      </c>
    </row>
    <row r="227" spans="1:19" hidden="1" x14ac:dyDescent="0.3">
      <c r="A227">
        <v>226</v>
      </c>
      <c r="B227" s="1">
        <v>43960</v>
      </c>
      <c r="C227">
        <v>8</v>
      </c>
      <c r="D227" t="s">
        <v>31</v>
      </c>
      <c r="E227" t="s">
        <v>98</v>
      </c>
      <c r="F227">
        <v>33</v>
      </c>
      <c r="G227" s="2">
        <v>107</v>
      </c>
      <c r="H227" s="2">
        <v>3531</v>
      </c>
      <c r="I227" s="1">
        <v>7.0000000000000007E-2</v>
      </c>
      <c r="J227" s="2">
        <v>3283.83</v>
      </c>
      <c r="K227" s="1">
        <v>43972</v>
      </c>
      <c r="L227" s="1">
        <v>43972</v>
      </c>
      <c r="M227">
        <v>226</v>
      </c>
      <c r="N227">
        <v>2</v>
      </c>
      <c r="O227" t="s">
        <v>56</v>
      </c>
      <c r="P227" s="3">
        <v>0.08</v>
      </c>
      <c r="Q227" s="2">
        <v>262.70639999999997</v>
      </c>
      <c r="R227">
        <v>2</v>
      </c>
      <c r="S227" t="str">
        <f t="shared" si="3"/>
        <v>Maio</v>
      </c>
    </row>
    <row r="228" spans="1:19" hidden="1" x14ac:dyDescent="0.3">
      <c r="A228">
        <v>227</v>
      </c>
      <c r="B228" s="1">
        <v>43960</v>
      </c>
      <c r="C228">
        <v>93</v>
      </c>
      <c r="D228" t="s">
        <v>26</v>
      </c>
      <c r="E228" t="s">
        <v>102</v>
      </c>
      <c r="F228">
        <v>16</v>
      </c>
      <c r="G228" s="2">
        <v>92</v>
      </c>
      <c r="H228" s="2">
        <v>1472</v>
      </c>
      <c r="I228" s="1">
        <v>0.01</v>
      </c>
      <c r="J228" s="2">
        <v>1457.28</v>
      </c>
      <c r="K228" s="1">
        <v>43982</v>
      </c>
      <c r="L228" s="1">
        <v>43982</v>
      </c>
      <c r="M228">
        <v>227</v>
      </c>
      <c r="N228">
        <v>1</v>
      </c>
      <c r="O228" t="s">
        <v>23</v>
      </c>
      <c r="P228" s="3">
        <v>0.05</v>
      </c>
      <c r="Q228" s="2">
        <v>72.864000000000004</v>
      </c>
      <c r="R228">
        <v>3</v>
      </c>
      <c r="S228" t="str">
        <f t="shared" si="3"/>
        <v>Maio</v>
      </c>
    </row>
    <row r="229" spans="1:19" hidden="1" x14ac:dyDescent="0.3">
      <c r="A229">
        <v>228</v>
      </c>
      <c r="B229" s="1">
        <v>43961</v>
      </c>
      <c r="C229">
        <v>72</v>
      </c>
      <c r="D229" t="s">
        <v>31</v>
      </c>
      <c r="E229" t="s">
        <v>102</v>
      </c>
      <c r="F229">
        <v>35</v>
      </c>
      <c r="G229" s="2">
        <v>91</v>
      </c>
      <c r="H229" s="2">
        <v>3185</v>
      </c>
      <c r="I229" s="1">
        <v>0.05</v>
      </c>
      <c r="J229" s="2">
        <v>3025.75</v>
      </c>
      <c r="K229" s="1">
        <v>43974</v>
      </c>
      <c r="L229" s="1">
        <v>43974</v>
      </c>
      <c r="M229">
        <v>228</v>
      </c>
      <c r="N229">
        <v>3</v>
      </c>
      <c r="O229" t="s">
        <v>30</v>
      </c>
      <c r="P229" s="3">
        <v>0.1</v>
      </c>
      <c r="Q229" s="2">
        <v>302.57499999999999</v>
      </c>
      <c r="R229">
        <v>4</v>
      </c>
      <c r="S229" t="str">
        <f t="shared" si="3"/>
        <v>Maio</v>
      </c>
    </row>
    <row r="230" spans="1:19" x14ac:dyDescent="0.3">
      <c r="A230">
        <v>229</v>
      </c>
      <c r="B230" s="1">
        <v>43961</v>
      </c>
      <c r="C230">
        <v>13</v>
      </c>
      <c r="D230" t="s">
        <v>62</v>
      </c>
      <c r="E230" t="s">
        <v>95</v>
      </c>
      <c r="F230">
        <v>10</v>
      </c>
      <c r="G230" s="2">
        <v>97</v>
      </c>
      <c r="H230" s="2">
        <v>970</v>
      </c>
      <c r="I230" s="1">
        <v>0.11</v>
      </c>
      <c r="J230" s="2">
        <v>863.3</v>
      </c>
      <c r="K230" s="1">
        <v>43983</v>
      </c>
      <c r="L230" s="1">
        <v>43983</v>
      </c>
      <c r="M230">
        <v>229</v>
      </c>
      <c r="N230">
        <v>4</v>
      </c>
      <c r="O230" t="s">
        <v>35</v>
      </c>
      <c r="P230" s="3">
        <v>0.05</v>
      </c>
      <c r="Q230" s="2">
        <v>43.164999999999999</v>
      </c>
      <c r="R230">
        <v>5</v>
      </c>
      <c r="S230" t="str">
        <f t="shared" si="3"/>
        <v>Maio</v>
      </c>
    </row>
    <row r="231" spans="1:19" hidden="1" x14ac:dyDescent="0.3">
      <c r="A231">
        <v>230</v>
      </c>
      <c r="B231" s="1">
        <v>43961</v>
      </c>
      <c r="C231">
        <v>39</v>
      </c>
      <c r="D231" t="s">
        <v>31</v>
      </c>
      <c r="E231" t="s">
        <v>98</v>
      </c>
      <c r="F231">
        <v>50</v>
      </c>
      <c r="G231" s="2">
        <v>114</v>
      </c>
      <c r="H231" s="2">
        <v>5700</v>
      </c>
      <c r="I231" s="1">
        <v>0.08</v>
      </c>
      <c r="J231" s="2">
        <v>5244</v>
      </c>
      <c r="K231" s="1">
        <v>43971</v>
      </c>
      <c r="L231" s="1">
        <v>43971</v>
      </c>
      <c r="M231">
        <v>230</v>
      </c>
      <c r="N231">
        <v>4</v>
      </c>
      <c r="O231" t="s">
        <v>23</v>
      </c>
      <c r="P231" s="3">
        <v>0.09</v>
      </c>
      <c r="Q231" s="2">
        <v>471.96</v>
      </c>
      <c r="R231">
        <v>6</v>
      </c>
      <c r="S231" t="str">
        <f t="shared" si="3"/>
        <v>Maio</v>
      </c>
    </row>
    <row r="232" spans="1:19" hidden="1" x14ac:dyDescent="0.3">
      <c r="A232">
        <v>231</v>
      </c>
      <c r="B232" s="1">
        <v>43961</v>
      </c>
      <c r="C232">
        <v>72</v>
      </c>
      <c r="D232" t="s">
        <v>31</v>
      </c>
      <c r="E232" t="s">
        <v>95</v>
      </c>
      <c r="F232">
        <v>41</v>
      </c>
      <c r="G232" s="2">
        <v>118</v>
      </c>
      <c r="H232" s="2">
        <v>4838</v>
      </c>
      <c r="I232" s="1">
        <v>0.13</v>
      </c>
      <c r="J232" s="2">
        <v>4209.0599999999995</v>
      </c>
      <c r="K232" s="1">
        <v>43981</v>
      </c>
      <c r="L232" s="1">
        <v>43981</v>
      </c>
      <c r="M232">
        <v>231</v>
      </c>
      <c r="N232">
        <v>3</v>
      </c>
      <c r="O232" t="s">
        <v>23</v>
      </c>
      <c r="P232" s="3">
        <v>0.06</v>
      </c>
      <c r="Q232" s="2">
        <v>252.54359999999997</v>
      </c>
      <c r="R232">
        <v>7</v>
      </c>
      <c r="S232" t="str">
        <f t="shared" si="3"/>
        <v>Maio</v>
      </c>
    </row>
    <row r="233" spans="1:19" hidden="1" x14ac:dyDescent="0.3">
      <c r="A233">
        <v>232</v>
      </c>
      <c r="B233" s="1">
        <v>43962</v>
      </c>
      <c r="C233">
        <v>3</v>
      </c>
      <c r="D233" t="s">
        <v>78</v>
      </c>
      <c r="E233" t="s">
        <v>103</v>
      </c>
      <c r="F233">
        <v>35</v>
      </c>
      <c r="G233" s="2">
        <v>91</v>
      </c>
      <c r="H233" s="2">
        <v>3185</v>
      </c>
      <c r="I233" s="1">
        <v>0.09</v>
      </c>
      <c r="J233" s="2">
        <v>2898.35</v>
      </c>
      <c r="K233" s="1">
        <v>43987</v>
      </c>
      <c r="L233" s="1">
        <v>43987</v>
      </c>
      <c r="M233">
        <v>232</v>
      </c>
      <c r="N233">
        <v>1</v>
      </c>
      <c r="O233" t="s">
        <v>23</v>
      </c>
      <c r="P233" s="3">
        <v>0.06</v>
      </c>
      <c r="Q233" s="2">
        <v>173.90099999999998</v>
      </c>
      <c r="R233">
        <v>1</v>
      </c>
      <c r="S233" t="str">
        <f t="shared" si="3"/>
        <v>Maio</v>
      </c>
    </row>
    <row r="234" spans="1:19" x14ac:dyDescent="0.3">
      <c r="A234">
        <v>233</v>
      </c>
      <c r="B234" s="1">
        <v>43962</v>
      </c>
      <c r="C234">
        <v>44</v>
      </c>
      <c r="D234" t="s">
        <v>58</v>
      </c>
      <c r="E234" t="s">
        <v>96</v>
      </c>
      <c r="F234">
        <v>15</v>
      </c>
      <c r="G234" s="2">
        <v>106</v>
      </c>
      <c r="H234" s="2">
        <v>1590</v>
      </c>
      <c r="I234" s="1">
        <v>0.1</v>
      </c>
      <c r="J234" s="2">
        <v>1431</v>
      </c>
      <c r="K234" s="1">
        <v>43977</v>
      </c>
      <c r="L234" s="1">
        <v>43977</v>
      </c>
      <c r="M234">
        <v>233</v>
      </c>
      <c r="N234">
        <v>4</v>
      </c>
      <c r="O234" t="s">
        <v>35</v>
      </c>
      <c r="P234" s="3">
        <v>0.05</v>
      </c>
      <c r="Q234" s="2">
        <v>71.55</v>
      </c>
      <c r="R234">
        <v>2</v>
      </c>
      <c r="S234" t="str">
        <f t="shared" si="3"/>
        <v>Maio</v>
      </c>
    </row>
    <row r="235" spans="1:19" hidden="1" x14ac:dyDescent="0.3">
      <c r="A235">
        <v>234</v>
      </c>
      <c r="B235" s="1">
        <v>43963</v>
      </c>
      <c r="C235">
        <v>32</v>
      </c>
      <c r="D235" t="s">
        <v>64</v>
      </c>
      <c r="E235" t="s">
        <v>96</v>
      </c>
      <c r="F235">
        <v>31</v>
      </c>
      <c r="G235" s="2">
        <v>118</v>
      </c>
      <c r="H235" s="2">
        <v>3658</v>
      </c>
      <c r="I235" s="1">
        <v>7.0000000000000007E-2</v>
      </c>
      <c r="J235" s="2">
        <v>3401.94</v>
      </c>
      <c r="K235" s="1">
        <v>43990</v>
      </c>
      <c r="L235" s="1">
        <v>43990</v>
      </c>
      <c r="M235">
        <v>234</v>
      </c>
      <c r="N235">
        <v>3</v>
      </c>
      <c r="O235" t="s">
        <v>38</v>
      </c>
      <c r="P235" s="3">
        <v>0.1</v>
      </c>
      <c r="Q235" s="2">
        <v>340.19400000000002</v>
      </c>
      <c r="R235">
        <v>3</v>
      </c>
      <c r="S235" t="str">
        <f t="shared" si="3"/>
        <v>Maio</v>
      </c>
    </row>
    <row r="236" spans="1:19" hidden="1" x14ac:dyDescent="0.3">
      <c r="A236">
        <v>235</v>
      </c>
      <c r="B236" s="1">
        <v>43963</v>
      </c>
      <c r="C236">
        <v>47</v>
      </c>
      <c r="D236" t="s">
        <v>33</v>
      </c>
      <c r="E236" t="s">
        <v>100</v>
      </c>
      <c r="F236">
        <v>35</v>
      </c>
      <c r="G236" s="2">
        <v>103</v>
      </c>
      <c r="H236" s="2">
        <v>3605</v>
      </c>
      <c r="I236" s="1">
        <v>7.0000000000000007E-2</v>
      </c>
      <c r="J236" s="2">
        <v>3352.65</v>
      </c>
      <c r="K236" s="1">
        <v>43981</v>
      </c>
      <c r="L236" s="1">
        <v>43981</v>
      </c>
      <c r="M236">
        <v>235</v>
      </c>
      <c r="N236">
        <v>1</v>
      </c>
      <c r="O236" t="s">
        <v>30</v>
      </c>
      <c r="P236" s="3">
        <v>0.08</v>
      </c>
      <c r="Q236" s="2">
        <v>268.21199999999999</v>
      </c>
      <c r="R236">
        <v>4</v>
      </c>
      <c r="S236" t="str">
        <f t="shared" si="3"/>
        <v>Maio</v>
      </c>
    </row>
    <row r="237" spans="1:19" hidden="1" x14ac:dyDescent="0.3">
      <c r="A237">
        <v>236</v>
      </c>
      <c r="B237" s="1">
        <v>43964</v>
      </c>
      <c r="C237">
        <v>29</v>
      </c>
      <c r="D237" t="s">
        <v>85</v>
      </c>
      <c r="E237" t="s">
        <v>99</v>
      </c>
      <c r="F237">
        <v>17</v>
      </c>
      <c r="G237" s="2">
        <v>100</v>
      </c>
      <c r="H237" s="2">
        <v>1700</v>
      </c>
      <c r="I237" s="1">
        <v>0.11</v>
      </c>
      <c r="J237" s="2">
        <v>1513</v>
      </c>
      <c r="K237" s="1">
        <v>43964</v>
      </c>
      <c r="L237" s="1">
        <v>43964</v>
      </c>
      <c r="M237">
        <v>236</v>
      </c>
      <c r="N237">
        <v>1</v>
      </c>
      <c r="O237" t="s">
        <v>42</v>
      </c>
      <c r="P237" s="3">
        <v>7.0000000000000007E-2</v>
      </c>
      <c r="Q237" s="2">
        <v>105.91000000000001</v>
      </c>
      <c r="R237">
        <v>5</v>
      </c>
      <c r="S237" t="str">
        <f t="shared" si="3"/>
        <v>Maio</v>
      </c>
    </row>
    <row r="238" spans="1:19" hidden="1" x14ac:dyDescent="0.3">
      <c r="A238">
        <v>237</v>
      </c>
      <c r="B238" s="1">
        <v>43964</v>
      </c>
      <c r="C238">
        <v>11</v>
      </c>
      <c r="D238" t="s">
        <v>47</v>
      </c>
      <c r="E238" t="s">
        <v>96</v>
      </c>
      <c r="F238">
        <v>40</v>
      </c>
      <c r="G238" s="2">
        <v>116</v>
      </c>
      <c r="H238" s="2">
        <v>4640</v>
      </c>
      <c r="I238" s="1">
        <v>0.02</v>
      </c>
      <c r="J238" s="2">
        <v>4547.2</v>
      </c>
      <c r="K238" s="1">
        <v>43973</v>
      </c>
      <c r="L238" s="1">
        <v>43973</v>
      </c>
      <c r="M238">
        <v>237</v>
      </c>
      <c r="N238">
        <v>6</v>
      </c>
      <c r="O238" t="s">
        <v>25</v>
      </c>
      <c r="P238" s="3">
        <v>0.05</v>
      </c>
      <c r="Q238" s="2">
        <v>227.36</v>
      </c>
      <c r="R238">
        <v>6</v>
      </c>
      <c r="S238" t="str">
        <f t="shared" si="3"/>
        <v>Maio</v>
      </c>
    </row>
    <row r="239" spans="1:19" hidden="1" x14ac:dyDescent="0.3">
      <c r="A239">
        <v>238</v>
      </c>
      <c r="B239" s="1">
        <v>43964</v>
      </c>
      <c r="C239">
        <v>66</v>
      </c>
      <c r="D239" t="s">
        <v>24</v>
      </c>
      <c r="E239" t="s">
        <v>98</v>
      </c>
      <c r="F239">
        <v>46</v>
      </c>
      <c r="G239" s="2">
        <v>113</v>
      </c>
      <c r="H239" s="2">
        <v>5198</v>
      </c>
      <c r="I239" s="1">
        <v>0.01</v>
      </c>
      <c r="J239" s="2">
        <v>5146.0200000000004</v>
      </c>
      <c r="K239" s="1">
        <v>43974</v>
      </c>
      <c r="L239" s="1">
        <v>43974</v>
      </c>
      <c r="M239">
        <v>238</v>
      </c>
      <c r="N239">
        <v>7</v>
      </c>
      <c r="O239" t="s">
        <v>23</v>
      </c>
      <c r="P239" s="3">
        <v>7.0000000000000007E-2</v>
      </c>
      <c r="Q239" s="2">
        <v>360.22140000000007</v>
      </c>
      <c r="R239">
        <v>7</v>
      </c>
      <c r="S239" t="str">
        <f t="shared" si="3"/>
        <v>Maio</v>
      </c>
    </row>
    <row r="240" spans="1:19" hidden="1" x14ac:dyDescent="0.3">
      <c r="A240">
        <v>239</v>
      </c>
      <c r="B240" s="1">
        <v>43965</v>
      </c>
      <c r="C240">
        <v>17</v>
      </c>
      <c r="D240" t="s">
        <v>54</v>
      </c>
      <c r="E240" t="s">
        <v>102</v>
      </c>
      <c r="F240">
        <v>31</v>
      </c>
      <c r="G240" s="2">
        <v>96</v>
      </c>
      <c r="H240" s="2">
        <v>2976</v>
      </c>
      <c r="I240" s="1">
        <v>0.11</v>
      </c>
      <c r="J240" s="2">
        <v>2648.64</v>
      </c>
      <c r="K240" s="1">
        <v>43987</v>
      </c>
      <c r="L240" s="1">
        <v>43987</v>
      </c>
      <c r="M240">
        <v>239</v>
      </c>
      <c r="N240">
        <v>4</v>
      </c>
      <c r="O240" t="s">
        <v>25</v>
      </c>
      <c r="P240" s="3">
        <v>0.1</v>
      </c>
      <c r="Q240" s="2">
        <v>264.86399999999998</v>
      </c>
      <c r="R240">
        <v>1</v>
      </c>
      <c r="S240" t="str">
        <f t="shared" si="3"/>
        <v>Maio</v>
      </c>
    </row>
    <row r="241" spans="1:19" hidden="1" x14ac:dyDescent="0.3">
      <c r="A241">
        <v>240</v>
      </c>
      <c r="B241" s="1">
        <v>43965</v>
      </c>
      <c r="C241">
        <v>12</v>
      </c>
      <c r="D241" t="s">
        <v>37</v>
      </c>
      <c r="E241" t="s">
        <v>99</v>
      </c>
      <c r="F241">
        <v>45</v>
      </c>
      <c r="G241" s="2">
        <v>119</v>
      </c>
      <c r="H241" s="2">
        <v>5355</v>
      </c>
      <c r="I241" s="1">
        <v>0.05</v>
      </c>
      <c r="J241" s="2">
        <v>5087.25</v>
      </c>
      <c r="K241" s="1">
        <v>43982</v>
      </c>
      <c r="L241" s="1">
        <v>43982</v>
      </c>
      <c r="M241">
        <v>240</v>
      </c>
      <c r="N241">
        <v>7</v>
      </c>
      <c r="O241" t="s">
        <v>38</v>
      </c>
      <c r="P241" s="3">
        <v>0.05</v>
      </c>
      <c r="Q241" s="2">
        <v>254.36250000000001</v>
      </c>
      <c r="R241">
        <v>2</v>
      </c>
      <c r="S241" t="str">
        <f t="shared" si="3"/>
        <v>Maio</v>
      </c>
    </row>
    <row r="242" spans="1:19" hidden="1" x14ac:dyDescent="0.3">
      <c r="A242">
        <v>241</v>
      </c>
      <c r="B242" s="1">
        <v>43965</v>
      </c>
      <c r="C242">
        <v>94</v>
      </c>
      <c r="D242" t="s">
        <v>40</v>
      </c>
      <c r="E242" t="s">
        <v>95</v>
      </c>
      <c r="F242">
        <v>41</v>
      </c>
      <c r="G242" s="2">
        <v>91</v>
      </c>
      <c r="H242" s="2">
        <v>3731</v>
      </c>
      <c r="I242" s="1">
        <v>0.11</v>
      </c>
      <c r="J242" s="2">
        <v>3320.59</v>
      </c>
      <c r="K242" s="1">
        <v>43983</v>
      </c>
      <c r="L242" s="1">
        <v>43983</v>
      </c>
      <c r="M242">
        <v>241</v>
      </c>
      <c r="N242">
        <v>5</v>
      </c>
      <c r="O242" t="s">
        <v>23</v>
      </c>
      <c r="P242" s="3">
        <v>0.05</v>
      </c>
      <c r="Q242" s="2">
        <v>166.02950000000001</v>
      </c>
      <c r="R242">
        <v>3</v>
      </c>
      <c r="S242" t="str">
        <f t="shared" si="3"/>
        <v>Maio</v>
      </c>
    </row>
    <row r="243" spans="1:19" hidden="1" x14ac:dyDescent="0.3">
      <c r="A243">
        <v>242</v>
      </c>
      <c r="B243" s="1">
        <v>43966</v>
      </c>
      <c r="C243">
        <v>60</v>
      </c>
      <c r="D243" t="s">
        <v>69</v>
      </c>
      <c r="E243" t="s">
        <v>101</v>
      </c>
      <c r="F243">
        <v>21</v>
      </c>
      <c r="G243" s="2">
        <v>107</v>
      </c>
      <c r="H243" s="2">
        <v>2247</v>
      </c>
      <c r="I243" s="1">
        <v>0.09</v>
      </c>
      <c r="J243" s="2">
        <v>2044.77</v>
      </c>
      <c r="K243" s="1">
        <v>43989</v>
      </c>
      <c r="L243" s="1">
        <v>43989</v>
      </c>
      <c r="M243">
        <v>242</v>
      </c>
      <c r="N243">
        <v>7</v>
      </c>
      <c r="O243" t="s">
        <v>56</v>
      </c>
      <c r="P243" s="3">
        <v>0.1</v>
      </c>
      <c r="Q243" s="2">
        <v>204.477</v>
      </c>
      <c r="R243">
        <v>4</v>
      </c>
      <c r="S243" t="str">
        <f t="shared" si="3"/>
        <v>Maio</v>
      </c>
    </row>
    <row r="244" spans="1:19" hidden="1" x14ac:dyDescent="0.3">
      <c r="A244">
        <v>243</v>
      </c>
      <c r="B244" s="1">
        <v>43966</v>
      </c>
      <c r="C244">
        <v>70</v>
      </c>
      <c r="D244" t="s">
        <v>54</v>
      </c>
      <c r="E244" t="s">
        <v>101</v>
      </c>
      <c r="F244">
        <v>50</v>
      </c>
      <c r="G244" s="2">
        <v>98</v>
      </c>
      <c r="H244" s="2">
        <v>4900</v>
      </c>
      <c r="I244" s="1">
        <v>0.13</v>
      </c>
      <c r="J244" s="2">
        <v>4263</v>
      </c>
      <c r="K244" s="1">
        <v>43978</v>
      </c>
      <c r="L244" s="1">
        <v>43978</v>
      </c>
      <c r="M244">
        <v>243</v>
      </c>
      <c r="N244">
        <v>3</v>
      </c>
      <c r="O244" t="s">
        <v>18</v>
      </c>
      <c r="P244" s="3">
        <v>0.1</v>
      </c>
      <c r="Q244" s="2">
        <v>426.3</v>
      </c>
      <c r="R244">
        <v>5</v>
      </c>
      <c r="S244" t="str">
        <f t="shared" si="3"/>
        <v>Maio</v>
      </c>
    </row>
    <row r="245" spans="1:19" hidden="1" x14ac:dyDescent="0.3">
      <c r="A245">
        <v>244</v>
      </c>
      <c r="B245" s="1">
        <v>43966</v>
      </c>
      <c r="C245">
        <v>41</v>
      </c>
      <c r="D245" t="s">
        <v>55</v>
      </c>
      <c r="E245" t="s">
        <v>95</v>
      </c>
      <c r="F245">
        <v>16</v>
      </c>
      <c r="G245" s="2">
        <v>107</v>
      </c>
      <c r="H245" s="2">
        <v>1712</v>
      </c>
      <c r="I245" s="1">
        <v>0.04</v>
      </c>
      <c r="J245" s="2">
        <v>1643.52</v>
      </c>
      <c r="K245" s="1">
        <v>43988</v>
      </c>
      <c r="L245" s="1">
        <v>43988</v>
      </c>
      <c r="M245">
        <v>244</v>
      </c>
      <c r="N245">
        <v>4</v>
      </c>
      <c r="O245" t="s">
        <v>38</v>
      </c>
      <c r="P245" s="3">
        <v>0.08</v>
      </c>
      <c r="Q245" s="2">
        <v>131.48160000000001</v>
      </c>
      <c r="R245">
        <v>6</v>
      </c>
      <c r="S245" t="str">
        <f t="shared" si="3"/>
        <v>Maio</v>
      </c>
    </row>
    <row r="246" spans="1:19" hidden="1" x14ac:dyDescent="0.3">
      <c r="A246">
        <v>245</v>
      </c>
      <c r="B246" s="1">
        <v>43967</v>
      </c>
      <c r="C246">
        <v>46</v>
      </c>
      <c r="D246" t="s">
        <v>81</v>
      </c>
      <c r="E246" t="s">
        <v>98</v>
      </c>
      <c r="F246">
        <v>38</v>
      </c>
      <c r="G246" s="2">
        <v>113</v>
      </c>
      <c r="H246" s="2">
        <v>4294</v>
      </c>
      <c r="I246" s="1">
        <v>0.11</v>
      </c>
      <c r="J246" s="2">
        <v>3821.66</v>
      </c>
      <c r="K246" s="1">
        <v>43970</v>
      </c>
      <c r="L246" s="1">
        <v>43970</v>
      </c>
      <c r="M246">
        <v>245</v>
      </c>
      <c r="N246">
        <v>6</v>
      </c>
      <c r="O246" t="s">
        <v>25</v>
      </c>
      <c r="P246" s="3">
        <v>0.05</v>
      </c>
      <c r="Q246" s="2">
        <v>191.083</v>
      </c>
      <c r="R246">
        <v>7</v>
      </c>
      <c r="S246" t="str">
        <f t="shared" si="3"/>
        <v>Maio</v>
      </c>
    </row>
    <row r="247" spans="1:19" hidden="1" x14ac:dyDescent="0.3">
      <c r="A247">
        <v>246</v>
      </c>
      <c r="B247" s="1">
        <v>43967</v>
      </c>
      <c r="C247">
        <v>61</v>
      </c>
      <c r="D247" t="s">
        <v>44</v>
      </c>
      <c r="E247" t="s">
        <v>97</v>
      </c>
      <c r="F247">
        <v>32</v>
      </c>
      <c r="G247" s="2">
        <v>98</v>
      </c>
      <c r="H247" s="2">
        <v>3136</v>
      </c>
      <c r="I247" s="1">
        <v>0.13</v>
      </c>
      <c r="J247" s="2">
        <v>2728.32</v>
      </c>
      <c r="K247" s="1">
        <v>43976</v>
      </c>
      <c r="L247" s="1">
        <v>43976</v>
      </c>
      <c r="M247">
        <v>246</v>
      </c>
      <c r="N247">
        <v>7</v>
      </c>
      <c r="O247" t="s">
        <v>20</v>
      </c>
      <c r="P247" s="3">
        <v>7.0000000000000007E-2</v>
      </c>
      <c r="Q247" s="2">
        <v>190.98240000000004</v>
      </c>
      <c r="R247">
        <v>1</v>
      </c>
      <c r="S247" t="str">
        <f t="shared" si="3"/>
        <v>Maio</v>
      </c>
    </row>
    <row r="248" spans="1:19" hidden="1" x14ac:dyDescent="0.3">
      <c r="A248">
        <v>247</v>
      </c>
      <c r="B248" s="1">
        <v>43968</v>
      </c>
      <c r="C248">
        <v>14</v>
      </c>
      <c r="D248" t="s">
        <v>22</v>
      </c>
      <c r="E248" t="s">
        <v>103</v>
      </c>
      <c r="F248">
        <v>11</v>
      </c>
      <c r="G248" s="2">
        <v>100</v>
      </c>
      <c r="H248" s="2">
        <v>1100</v>
      </c>
      <c r="I248" s="1">
        <v>0.12</v>
      </c>
      <c r="J248" s="2">
        <v>968</v>
      </c>
      <c r="K248" s="1">
        <v>43991</v>
      </c>
      <c r="L248" s="1">
        <v>43991</v>
      </c>
      <c r="M248">
        <v>247</v>
      </c>
      <c r="N248">
        <v>4</v>
      </c>
      <c r="O248" t="s">
        <v>20</v>
      </c>
      <c r="P248" s="3">
        <v>0.09</v>
      </c>
      <c r="Q248" s="2">
        <v>87.11999999999999</v>
      </c>
      <c r="R248">
        <v>2</v>
      </c>
      <c r="S248" t="str">
        <f t="shared" si="3"/>
        <v>Maio</v>
      </c>
    </row>
    <row r="249" spans="1:19" hidden="1" x14ac:dyDescent="0.3">
      <c r="A249">
        <v>248</v>
      </c>
      <c r="B249" s="1">
        <v>43968</v>
      </c>
      <c r="C249">
        <v>77</v>
      </c>
      <c r="D249" t="s">
        <v>52</v>
      </c>
      <c r="E249" t="s">
        <v>101</v>
      </c>
      <c r="F249">
        <v>33</v>
      </c>
      <c r="G249" s="2">
        <v>117</v>
      </c>
      <c r="H249" s="2">
        <v>3861</v>
      </c>
      <c r="I249" s="1">
        <v>0.04</v>
      </c>
      <c r="J249" s="2">
        <v>3706.56</v>
      </c>
      <c r="K249" s="1">
        <v>43996</v>
      </c>
      <c r="L249" s="1">
        <v>43996</v>
      </c>
      <c r="M249">
        <v>248</v>
      </c>
      <c r="N249">
        <v>7</v>
      </c>
      <c r="O249" t="s">
        <v>27</v>
      </c>
      <c r="P249" s="3">
        <v>0.05</v>
      </c>
      <c r="Q249" s="2">
        <v>185.328</v>
      </c>
      <c r="R249">
        <v>3</v>
      </c>
      <c r="S249" t="str">
        <f t="shared" si="3"/>
        <v>Maio</v>
      </c>
    </row>
    <row r="250" spans="1:19" hidden="1" x14ac:dyDescent="0.3">
      <c r="A250">
        <v>249</v>
      </c>
      <c r="B250" s="1">
        <v>43970</v>
      </c>
      <c r="C250">
        <v>69</v>
      </c>
      <c r="D250" t="s">
        <v>54</v>
      </c>
      <c r="E250" t="s">
        <v>95</v>
      </c>
      <c r="F250">
        <v>37</v>
      </c>
      <c r="G250" s="2">
        <v>102</v>
      </c>
      <c r="H250" s="2">
        <v>3774</v>
      </c>
      <c r="I250" s="1">
        <v>0.13</v>
      </c>
      <c r="J250" s="2">
        <v>3283.38</v>
      </c>
      <c r="K250" s="1">
        <v>43972</v>
      </c>
      <c r="L250" s="1">
        <v>43972</v>
      </c>
      <c r="M250">
        <v>249</v>
      </c>
      <c r="N250">
        <v>1</v>
      </c>
      <c r="O250" t="s">
        <v>30</v>
      </c>
      <c r="P250" s="3">
        <v>0.05</v>
      </c>
      <c r="Q250" s="2">
        <v>164.16900000000001</v>
      </c>
      <c r="R250">
        <v>4</v>
      </c>
      <c r="S250" t="str">
        <f t="shared" si="3"/>
        <v>Maio</v>
      </c>
    </row>
    <row r="251" spans="1:19" hidden="1" x14ac:dyDescent="0.3">
      <c r="A251">
        <v>250</v>
      </c>
      <c r="B251" s="1">
        <v>43970</v>
      </c>
      <c r="C251">
        <v>36</v>
      </c>
      <c r="D251" t="s">
        <v>57</v>
      </c>
      <c r="E251" t="s">
        <v>95</v>
      </c>
      <c r="F251">
        <v>25</v>
      </c>
      <c r="G251" s="2">
        <v>109</v>
      </c>
      <c r="H251" s="2">
        <v>2725</v>
      </c>
      <c r="I251" s="1">
        <v>0.1</v>
      </c>
      <c r="J251" s="2">
        <v>2452.5</v>
      </c>
      <c r="K251" s="1">
        <v>43997</v>
      </c>
      <c r="L251" s="1">
        <v>43997</v>
      </c>
      <c r="M251">
        <v>250</v>
      </c>
      <c r="N251">
        <v>7</v>
      </c>
      <c r="O251" t="s">
        <v>42</v>
      </c>
      <c r="P251" s="3">
        <v>7.0000000000000007E-2</v>
      </c>
      <c r="Q251" s="2">
        <v>171.67500000000001</v>
      </c>
      <c r="R251">
        <v>5</v>
      </c>
      <c r="S251" t="str">
        <f t="shared" si="3"/>
        <v>Maio</v>
      </c>
    </row>
    <row r="252" spans="1:19" hidden="1" x14ac:dyDescent="0.3">
      <c r="A252">
        <v>251</v>
      </c>
      <c r="B252" s="1">
        <v>43970</v>
      </c>
      <c r="C252">
        <v>61</v>
      </c>
      <c r="D252" t="s">
        <v>44</v>
      </c>
      <c r="E252" t="s">
        <v>96</v>
      </c>
      <c r="F252">
        <v>25</v>
      </c>
      <c r="G252" s="2">
        <v>114</v>
      </c>
      <c r="H252" s="2">
        <v>2850</v>
      </c>
      <c r="I252" s="1">
        <v>0.12</v>
      </c>
      <c r="J252" s="2">
        <v>2508</v>
      </c>
      <c r="K252" s="1">
        <v>43971</v>
      </c>
      <c r="L252" s="1">
        <v>43971</v>
      </c>
      <c r="M252">
        <v>251</v>
      </c>
      <c r="N252">
        <v>5</v>
      </c>
      <c r="O252" t="s">
        <v>27</v>
      </c>
      <c r="P252" s="3">
        <v>0.08</v>
      </c>
      <c r="Q252" s="2">
        <v>200.64000000000001</v>
      </c>
      <c r="R252">
        <v>6</v>
      </c>
      <c r="S252" t="str">
        <f t="shared" si="3"/>
        <v>Maio</v>
      </c>
    </row>
    <row r="253" spans="1:19" hidden="1" x14ac:dyDescent="0.3">
      <c r="A253">
        <v>252</v>
      </c>
      <c r="B253" s="1">
        <v>43970</v>
      </c>
      <c r="C253">
        <v>24</v>
      </c>
      <c r="D253" t="s">
        <v>61</v>
      </c>
      <c r="E253" t="s">
        <v>103</v>
      </c>
      <c r="F253">
        <v>36</v>
      </c>
      <c r="G253" s="2">
        <v>103</v>
      </c>
      <c r="H253" s="2">
        <v>3708</v>
      </c>
      <c r="I253" s="1">
        <v>0</v>
      </c>
      <c r="J253" s="2">
        <v>3708</v>
      </c>
      <c r="K253" s="1">
        <v>43972</v>
      </c>
      <c r="L253" s="1">
        <v>43972</v>
      </c>
      <c r="M253">
        <v>252</v>
      </c>
      <c r="N253">
        <v>7</v>
      </c>
      <c r="O253" t="s">
        <v>38</v>
      </c>
      <c r="P253" s="3">
        <v>7.0000000000000007E-2</v>
      </c>
      <c r="Q253" s="2">
        <v>259.56</v>
      </c>
      <c r="R253">
        <v>7</v>
      </c>
      <c r="S253" t="str">
        <f t="shared" si="3"/>
        <v>Maio</v>
      </c>
    </row>
    <row r="254" spans="1:19" hidden="1" x14ac:dyDescent="0.3">
      <c r="A254">
        <v>253</v>
      </c>
      <c r="B254" s="1">
        <v>43971</v>
      </c>
      <c r="C254">
        <v>72</v>
      </c>
      <c r="D254" t="s">
        <v>31</v>
      </c>
      <c r="E254" t="s">
        <v>100</v>
      </c>
      <c r="F254">
        <v>35</v>
      </c>
      <c r="G254" s="2">
        <v>120</v>
      </c>
      <c r="H254" s="2">
        <v>4200</v>
      </c>
      <c r="I254" s="1">
        <v>0.15</v>
      </c>
      <c r="J254" s="2">
        <v>3570</v>
      </c>
      <c r="K254" s="1">
        <v>43999</v>
      </c>
      <c r="L254" s="1">
        <v>43999</v>
      </c>
      <c r="M254">
        <v>253</v>
      </c>
      <c r="N254">
        <v>7</v>
      </c>
      <c r="O254" t="s">
        <v>56</v>
      </c>
      <c r="P254" s="3">
        <v>7.0000000000000007E-2</v>
      </c>
      <c r="Q254" s="2">
        <v>249.90000000000003</v>
      </c>
      <c r="R254">
        <v>1</v>
      </c>
      <c r="S254" t="str">
        <f t="shared" si="3"/>
        <v>Maio</v>
      </c>
    </row>
    <row r="255" spans="1:19" hidden="1" x14ac:dyDescent="0.3">
      <c r="A255">
        <v>254</v>
      </c>
      <c r="B255" s="1">
        <v>43971</v>
      </c>
      <c r="C255">
        <v>30</v>
      </c>
      <c r="D255" t="s">
        <v>83</v>
      </c>
      <c r="E255" t="s">
        <v>96</v>
      </c>
      <c r="F255">
        <v>37</v>
      </c>
      <c r="G255" s="2">
        <v>115</v>
      </c>
      <c r="H255" s="2">
        <v>4255</v>
      </c>
      <c r="I255" s="1">
        <v>0.15</v>
      </c>
      <c r="J255" s="2">
        <v>3616.75</v>
      </c>
      <c r="K255" s="1">
        <v>43988</v>
      </c>
      <c r="L255" s="1">
        <v>43988</v>
      </c>
      <c r="M255">
        <v>254</v>
      </c>
      <c r="N255">
        <v>1</v>
      </c>
      <c r="O255" t="s">
        <v>23</v>
      </c>
      <c r="P255" s="3">
        <v>0.1</v>
      </c>
      <c r="Q255" s="2">
        <v>361.67500000000001</v>
      </c>
      <c r="R255">
        <v>2</v>
      </c>
      <c r="S255" t="str">
        <f t="shared" si="3"/>
        <v>Maio</v>
      </c>
    </row>
    <row r="256" spans="1:19" hidden="1" x14ac:dyDescent="0.3">
      <c r="A256">
        <v>255</v>
      </c>
      <c r="B256" s="1">
        <v>43972</v>
      </c>
      <c r="C256">
        <v>43</v>
      </c>
      <c r="D256" t="s">
        <v>86</v>
      </c>
      <c r="E256" t="s">
        <v>96</v>
      </c>
      <c r="F256">
        <v>47</v>
      </c>
      <c r="G256" s="2">
        <v>98</v>
      </c>
      <c r="H256" s="2">
        <v>4606</v>
      </c>
      <c r="I256" s="1">
        <v>0.15</v>
      </c>
      <c r="J256" s="2">
        <v>3915.1</v>
      </c>
      <c r="K256" s="1">
        <v>43977</v>
      </c>
      <c r="L256" s="1">
        <v>43977</v>
      </c>
      <c r="M256">
        <v>255</v>
      </c>
      <c r="N256">
        <v>5</v>
      </c>
      <c r="O256" t="s">
        <v>27</v>
      </c>
      <c r="P256" s="3">
        <v>0.1</v>
      </c>
      <c r="Q256" s="2">
        <v>391.51</v>
      </c>
      <c r="R256">
        <v>3</v>
      </c>
      <c r="S256" t="str">
        <f t="shared" si="3"/>
        <v>Maio</v>
      </c>
    </row>
    <row r="257" spans="1:19" hidden="1" x14ac:dyDescent="0.3">
      <c r="A257">
        <v>256</v>
      </c>
      <c r="B257" s="1">
        <v>43972</v>
      </c>
      <c r="C257">
        <v>46</v>
      </c>
      <c r="D257" t="s">
        <v>81</v>
      </c>
      <c r="E257" t="s">
        <v>99</v>
      </c>
      <c r="F257">
        <v>30</v>
      </c>
      <c r="G257" s="2">
        <v>114</v>
      </c>
      <c r="H257" s="2">
        <v>3420</v>
      </c>
      <c r="I257" s="1">
        <v>0.12</v>
      </c>
      <c r="J257" s="2">
        <v>3009.6</v>
      </c>
      <c r="K257" s="1">
        <v>43978</v>
      </c>
      <c r="L257" s="1">
        <v>43978</v>
      </c>
      <c r="M257">
        <v>256</v>
      </c>
      <c r="N257">
        <v>6</v>
      </c>
      <c r="O257" t="s">
        <v>42</v>
      </c>
      <c r="P257" s="3">
        <v>0.06</v>
      </c>
      <c r="Q257" s="2">
        <v>180.57599999999999</v>
      </c>
      <c r="R257">
        <v>4</v>
      </c>
      <c r="S257" t="str">
        <f t="shared" si="3"/>
        <v>Maio</v>
      </c>
    </row>
    <row r="258" spans="1:19" hidden="1" x14ac:dyDescent="0.3">
      <c r="A258">
        <v>257</v>
      </c>
      <c r="B258" s="1">
        <v>43972</v>
      </c>
      <c r="C258">
        <v>31</v>
      </c>
      <c r="D258" t="s">
        <v>72</v>
      </c>
      <c r="E258" t="s">
        <v>95</v>
      </c>
      <c r="F258">
        <v>23</v>
      </c>
      <c r="G258" s="2">
        <v>95</v>
      </c>
      <c r="H258" s="2">
        <v>2185</v>
      </c>
      <c r="I258" s="1">
        <v>0.13</v>
      </c>
      <c r="J258" s="2">
        <v>1900.95</v>
      </c>
      <c r="K258" s="1">
        <v>43982</v>
      </c>
      <c r="L258" s="1">
        <v>43982</v>
      </c>
      <c r="M258">
        <v>257</v>
      </c>
      <c r="N258">
        <v>7</v>
      </c>
      <c r="O258" t="s">
        <v>20</v>
      </c>
      <c r="P258" s="3">
        <v>0.05</v>
      </c>
      <c r="Q258" s="2">
        <v>95.047500000000014</v>
      </c>
      <c r="R258">
        <v>5</v>
      </c>
      <c r="S258" t="str">
        <f t="shared" si="3"/>
        <v>Maio</v>
      </c>
    </row>
    <row r="259" spans="1:19" hidden="1" x14ac:dyDescent="0.3">
      <c r="A259">
        <v>258</v>
      </c>
      <c r="B259" s="1">
        <v>43973</v>
      </c>
      <c r="C259">
        <v>53</v>
      </c>
      <c r="D259" t="s">
        <v>75</v>
      </c>
      <c r="E259" t="s">
        <v>99</v>
      </c>
      <c r="F259">
        <v>11</v>
      </c>
      <c r="G259" s="2">
        <v>92</v>
      </c>
      <c r="H259" s="2">
        <v>1012</v>
      </c>
      <c r="I259" s="1">
        <v>0.02</v>
      </c>
      <c r="J259" s="2">
        <v>991.76</v>
      </c>
      <c r="K259" s="1">
        <v>43978</v>
      </c>
      <c r="L259" s="1">
        <v>43978</v>
      </c>
      <c r="M259">
        <v>258</v>
      </c>
      <c r="N259">
        <v>5</v>
      </c>
      <c r="O259" t="s">
        <v>30</v>
      </c>
      <c r="P259" s="3">
        <v>0.08</v>
      </c>
      <c r="Q259" s="2">
        <v>79.340800000000002</v>
      </c>
      <c r="R259">
        <v>6</v>
      </c>
      <c r="S259" t="str">
        <f t="shared" ref="S259:S322" si="4">PROPER(TEXT(B259,"mmmm"))</f>
        <v>Maio</v>
      </c>
    </row>
    <row r="260" spans="1:19" hidden="1" x14ac:dyDescent="0.3">
      <c r="A260">
        <v>259</v>
      </c>
      <c r="B260" s="1">
        <v>43974</v>
      </c>
      <c r="C260">
        <v>75</v>
      </c>
      <c r="D260" t="s">
        <v>31</v>
      </c>
      <c r="E260" t="s">
        <v>95</v>
      </c>
      <c r="F260">
        <v>30</v>
      </c>
      <c r="G260" s="2">
        <v>108</v>
      </c>
      <c r="H260" s="2">
        <v>3240</v>
      </c>
      <c r="I260" s="1">
        <v>0.15</v>
      </c>
      <c r="J260" s="2">
        <v>2754</v>
      </c>
      <c r="K260" s="1">
        <v>43993</v>
      </c>
      <c r="L260" s="1">
        <v>43993</v>
      </c>
      <c r="M260">
        <v>259</v>
      </c>
      <c r="N260">
        <v>6</v>
      </c>
      <c r="O260" t="s">
        <v>56</v>
      </c>
      <c r="P260" s="3">
        <v>0.1</v>
      </c>
      <c r="Q260" s="2">
        <v>275.40000000000003</v>
      </c>
      <c r="R260">
        <v>7</v>
      </c>
      <c r="S260" t="str">
        <f t="shared" si="4"/>
        <v>Maio</v>
      </c>
    </row>
    <row r="261" spans="1:19" hidden="1" x14ac:dyDescent="0.3">
      <c r="A261">
        <v>260</v>
      </c>
      <c r="B261" s="1">
        <v>43974</v>
      </c>
      <c r="C261">
        <v>49</v>
      </c>
      <c r="D261" t="s">
        <v>31</v>
      </c>
      <c r="E261" t="s">
        <v>104</v>
      </c>
      <c r="F261">
        <v>45</v>
      </c>
      <c r="G261" s="2">
        <v>95</v>
      </c>
      <c r="H261" s="2">
        <v>4275</v>
      </c>
      <c r="I261" s="1">
        <v>0.01</v>
      </c>
      <c r="J261" s="2">
        <v>4232.25</v>
      </c>
      <c r="K261" s="1">
        <v>43987</v>
      </c>
      <c r="L261" s="1">
        <v>43987</v>
      </c>
      <c r="M261">
        <v>260</v>
      </c>
      <c r="N261">
        <v>3</v>
      </c>
      <c r="O261" t="s">
        <v>18</v>
      </c>
      <c r="P261" s="3">
        <v>7.0000000000000007E-2</v>
      </c>
      <c r="Q261" s="2">
        <v>296.25750000000005</v>
      </c>
      <c r="R261">
        <v>1</v>
      </c>
      <c r="S261" t="str">
        <f t="shared" si="4"/>
        <v>Maio</v>
      </c>
    </row>
    <row r="262" spans="1:19" hidden="1" x14ac:dyDescent="0.3">
      <c r="A262">
        <v>261</v>
      </c>
      <c r="B262" s="1">
        <v>43974</v>
      </c>
      <c r="C262">
        <v>48</v>
      </c>
      <c r="D262" t="s">
        <v>48</v>
      </c>
      <c r="E262" t="s">
        <v>95</v>
      </c>
      <c r="F262">
        <v>17</v>
      </c>
      <c r="G262" s="2">
        <v>113</v>
      </c>
      <c r="H262" s="2">
        <v>1921</v>
      </c>
      <c r="I262" s="1">
        <v>0.09</v>
      </c>
      <c r="J262" s="2">
        <v>1748.1100000000001</v>
      </c>
      <c r="K262" s="1">
        <v>44000</v>
      </c>
      <c r="L262" s="1">
        <v>44000</v>
      </c>
      <c r="M262">
        <v>261</v>
      </c>
      <c r="N262">
        <v>2</v>
      </c>
      <c r="O262" t="s">
        <v>56</v>
      </c>
      <c r="P262" s="3">
        <v>7.0000000000000007E-2</v>
      </c>
      <c r="Q262" s="2">
        <v>122.36770000000001</v>
      </c>
      <c r="R262">
        <v>2</v>
      </c>
      <c r="S262" t="str">
        <f t="shared" si="4"/>
        <v>Maio</v>
      </c>
    </row>
    <row r="263" spans="1:19" hidden="1" x14ac:dyDescent="0.3">
      <c r="A263">
        <v>262</v>
      </c>
      <c r="B263" s="1">
        <v>43974</v>
      </c>
      <c r="C263">
        <v>47</v>
      </c>
      <c r="D263" t="s">
        <v>33</v>
      </c>
      <c r="E263" t="s">
        <v>102</v>
      </c>
      <c r="F263">
        <v>25</v>
      </c>
      <c r="G263" s="2">
        <v>110</v>
      </c>
      <c r="H263" s="2">
        <v>2750</v>
      </c>
      <c r="I263" s="1">
        <v>0.04</v>
      </c>
      <c r="J263" s="2">
        <v>2640</v>
      </c>
      <c r="K263" s="1">
        <v>43980</v>
      </c>
      <c r="L263" s="1">
        <v>43980</v>
      </c>
      <c r="M263">
        <v>262</v>
      </c>
      <c r="N263">
        <v>5</v>
      </c>
      <c r="O263" t="s">
        <v>42</v>
      </c>
      <c r="P263" s="3">
        <v>0.09</v>
      </c>
      <c r="Q263" s="2">
        <v>237.6</v>
      </c>
      <c r="R263">
        <v>3</v>
      </c>
      <c r="S263" t="str">
        <f t="shared" si="4"/>
        <v>Maio</v>
      </c>
    </row>
    <row r="264" spans="1:19" hidden="1" x14ac:dyDescent="0.3">
      <c r="A264">
        <v>263</v>
      </c>
      <c r="B264" s="1">
        <v>43975</v>
      </c>
      <c r="C264">
        <v>6</v>
      </c>
      <c r="D264" t="s">
        <v>75</v>
      </c>
      <c r="E264" t="s">
        <v>96</v>
      </c>
      <c r="F264">
        <v>21</v>
      </c>
      <c r="G264" s="2">
        <v>111</v>
      </c>
      <c r="H264" s="2">
        <v>2331</v>
      </c>
      <c r="I264" s="1">
        <v>0.06</v>
      </c>
      <c r="J264" s="2">
        <v>2191.14</v>
      </c>
      <c r="K264" s="1">
        <v>43992</v>
      </c>
      <c r="L264" s="1">
        <v>43992</v>
      </c>
      <c r="M264">
        <v>263</v>
      </c>
      <c r="N264">
        <v>1</v>
      </c>
      <c r="O264" t="s">
        <v>30</v>
      </c>
      <c r="P264" s="3">
        <v>0.06</v>
      </c>
      <c r="Q264" s="2">
        <v>131.46839999999997</v>
      </c>
      <c r="R264">
        <v>4</v>
      </c>
      <c r="S264" t="str">
        <f t="shared" si="4"/>
        <v>Maio</v>
      </c>
    </row>
    <row r="265" spans="1:19" hidden="1" x14ac:dyDescent="0.3">
      <c r="A265">
        <v>264</v>
      </c>
      <c r="B265" s="1">
        <v>43975</v>
      </c>
      <c r="C265">
        <v>53</v>
      </c>
      <c r="D265" t="s">
        <v>75</v>
      </c>
      <c r="E265" t="s">
        <v>99</v>
      </c>
      <c r="F265">
        <v>26</v>
      </c>
      <c r="G265" s="2">
        <v>100</v>
      </c>
      <c r="H265" s="2">
        <v>2600</v>
      </c>
      <c r="I265" s="1">
        <v>0.15</v>
      </c>
      <c r="J265" s="2">
        <v>2210</v>
      </c>
      <c r="K265" s="1">
        <v>43985</v>
      </c>
      <c r="L265" s="1">
        <v>43985</v>
      </c>
      <c r="M265">
        <v>264</v>
      </c>
      <c r="N265">
        <v>2</v>
      </c>
      <c r="O265" t="s">
        <v>25</v>
      </c>
      <c r="P265" s="3">
        <v>7.0000000000000007E-2</v>
      </c>
      <c r="Q265" s="2">
        <v>154.70000000000002</v>
      </c>
      <c r="R265">
        <v>5</v>
      </c>
      <c r="S265" t="str">
        <f t="shared" si="4"/>
        <v>Maio</v>
      </c>
    </row>
    <row r="266" spans="1:19" hidden="1" x14ac:dyDescent="0.3">
      <c r="A266">
        <v>265</v>
      </c>
      <c r="B266" s="1">
        <v>43975</v>
      </c>
      <c r="C266">
        <v>62</v>
      </c>
      <c r="D266" t="s">
        <v>31</v>
      </c>
      <c r="E266" t="s">
        <v>96</v>
      </c>
      <c r="F266">
        <v>39</v>
      </c>
      <c r="G266" s="2">
        <v>96</v>
      </c>
      <c r="H266" s="2">
        <v>3744</v>
      </c>
      <c r="I266" s="1">
        <v>0.08</v>
      </c>
      <c r="J266" s="2">
        <v>3444.48</v>
      </c>
      <c r="K266" s="1">
        <v>44004</v>
      </c>
      <c r="L266" s="1">
        <v>44004</v>
      </c>
      <c r="M266">
        <v>265</v>
      </c>
      <c r="N266">
        <v>7</v>
      </c>
      <c r="O266" t="s">
        <v>18</v>
      </c>
      <c r="P266" s="3">
        <v>0.1</v>
      </c>
      <c r="Q266" s="2">
        <v>344.44800000000004</v>
      </c>
      <c r="R266">
        <v>6</v>
      </c>
      <c r="S266" t="str">
        <f t="shared" si="4"/>
        <v>Maio</v>
      </c>
    </row>
    <row r="267" spans="1:19" hidden="1" x14ac:dyDescent="0.3">
      <c r="A267">
        <v>266</v>
      </c>
      <c r="B267" s="1">
        <v>43975</v>
      </c>
      <c r="C267">
        <v>63</v>
      </c>
      <c r="D267" t="s">
        <v>67</v>
      </c>
      <c r="E267" t="s">
        <v>100</v>
      </c>
      <c r="F267">
        <v>25</v>
      </c>
      <c r="G267" s="2">
        <v>117</v>
      </c>
      <c r="H267" s="2">
        <v>2925</v>
      </c>
      <c r="I267" s="1">
        <v>0.14000000000000001</v>
      </c>
      <c r="J267" s="2">
        <v>2515.5</v>
      </c>
      <c r="K267" s="1">
        <v>43977</v>
      </c>
      <c r="L267" s="1">
        <v>43977</v>
      </c>
      <c r="M267">
        <v>266</v>
      </c>
      <c r="N267">
        <v>1</v>
      </c>
      <c r="O267" t="s">
        <v>23</v>
      </c>
      <c r="P267" s="3">
        <v>0.09</v>
      </c>
      <c r="Q267" s="2">
        <v>226.39499999999998</v>
      </c>
      <c r="R267">
        <v>7</v>
      </c>
      <c r="S267" t="str">
        <f t="shared" si="4"/>
        <v>Maio</v>
      </c>
    </row>
    <row r="268" spans="1:19" hidden="1" x14ac:dyDescent="0.3">
      <c r="A268">
        <v>267</v>
      </c>
      <c r="B268" s="1">
        <v>43975</v>
      </c>
      <c r="C268">
        <v>61</v>
      </c>
      <c r="D268" t="s">
        <v>44</v>
      </c>
      <c r="E268" t="s">
        <v>96</v>
      </c>
      <c r="F268">
        <v>44</v>
      </c>
      <c r="G268" s="2">
        <v>106</v>
      </c>
      <c r="H268" s="2">
        <v>4664</v>
      </c>
      <c r="I268" s="1">
        <v>0.03</v>
      </c>
      <c r="J268" s="2">
        <v>4524.08</v>
      </c>
      <c r="K268" s="1">
        <v>43981</v>
      </c>
      <c r="L268" s="1">
        <v>43981</v>
      </c>
      <c r="M268">
        <v>267</v>
      </c>
      <c r="N268">
        <v>5</v>
      </c>
      <c r="O268" t="s">
        <v>18</v>
      </c>
      <c r="P268" s="3">
        <v>0.06</v>
      </c>
      <c r="Q268" s="2">
        <v>271.44479999999999</v>
      </c>
      <c r="R268">
        <v>1</v>
      </c>
      <c r="S268" t="str">
        <f t="shared" si="4"/>
        <v>Maio</v>
      </c>
    </row>
    <row r="269" spans="1:19" hidden="1" x14ac:dyDescent="0.3">
      <c r="A269">
        <v>268</v>
      </c>
      <c r="B269" s="1">
        <v>43975</v>
      </c>
      <c r="C269">
        <v>6</v>
      </c>
      <c r="D269" t="s">
        <v>75</v>
      </c>
      <c r="E269" t="s">
        <v>96</v>
      </c>
      <c r="F269">
        <v>29</v>
      </c>
      <c r="G269" s="2">
        <v>100</v>
      </c>
      <c r="H269" s="2">
        <v>2900</v>
      </c>
      <c r="I269" s="1">
        <v>0.08</v>
      </c>
      <c r="J269" s="2">
        <v>2668</v>
      </c>
      <c r="K269" s="1">
        <v>43997</v>
      </c>
      <c r="L269" s="1">
        <v>43997</v>
      </c>
      <c r="M269">
        <v>268</v>
      </c>
      <c r="N269">
        <v>2</v>
      </c>
      <c r="O269" t="s">
        <v>30</v>
      </c>
      <c r="P269" s="3">
        <v>0.1</v>
      </c>
      <c r="Q269" s="2">
        <v>266.8</v>
      </c>
      <c r="R269">
        <v>2</v>
      </c>
      <c r="S269" t="str">
        <f t="shared" si="4"/>
        <v>Maio</v>
      </c>
    </row>
    <row r="270" spans="1:19" hidden="1" x14ac:dyDescent="0.3">
      <c r="A270">
        <v>269</v>
      </c>
      <c r="B270" s="1">
        <v>43978</v>
      </c>
      <c r="C270">
        <v>28</v>
      </c>
      <c r="D270" t="s">
        <v>73</v>
      </c>
      <c r="E270" t="s">
        <v>103</v>
      </c>
      <c r="F270">
        <v>17</v>
      </c>
      <c r="G270" s="2">
        <v>93</v>
      </c>
      <c r="H270" s="2">
        <v>1581</v>
      </c>
      <c r="I270" s="1">
        <v>0</v>
      </c>
      <c r="J270" s="2">
        <v>1581</v>
      </c>
      <c r="K270" s="1">
        <v>44000</v>
      </c>
      <c r="L270" s="1">
        <v>44000</v>
      </c>
      <c r="M270">
        <v>269</v>
      </c>
      <c r="N270">
        <v>7</v>
      </c>
      <c r="O270" t="s">
        <v>27</v>
      </c>
      <c r="P270" s="3">
        <v>0.1</v>
      </c>
      <c r="Q270" s="2">
        <v>158.10000000000002</v>
      </c>
      <c r="R270">
        <v>3</v>
      </c>
      <c r="S270" t="str">
        <f t="shared" si="4"/>
        <v>Maio</v>
      </c>
    </row>
    <row r="271" spans="1:19" hidden="1" x14ac:dyDescent="0.3">
      <c r="A271">
        <v>270</v>
      </c>
      <c r="B271" s="1">
        <v>43978</v>
      </c>
      <c r="C271">
        <v>35</v>
      </c>
      <c r="D271" t="s">
        <v>31</v>
      </c>
      <c r="E271" t="s">
        <v>99</v>
      </c>
      <c r="F271">
        <v>23</v>
      </c>
      <c r="G271" s="2">
        <v>96</v>
      </c>
      <c r="H271" s="2">
        <v>2208</v>
      </c>
      <c r="I271" s="1">
        <v>0.13</v>
      </c>
      <c r="J271" s="2">
        <v>1920.96</v>
      </c>
      <c r="K271" s="1">
        <v>44000</v>
      </c>
      <c r="L271" s="1">
        <v>44000</v>
      </c>
      <c r="M271">
        <v>270</v>
      </c>
      <c r="N271">
        <v>7</v>
      </c>
      <c r="O271" t="s">
        <v>56</v>
      </c>
      <c r="P271" s="3">
        <v>0.09</v>
      </c>
      <c r="Q271" s="2">
        <v>172.88640000000001</v>
      </c>
      <c r="R271">
        <v>4</v>
      </c>
      <c r="S271" t="str">
        <f t="shared" si="4"/>
        <v>Maio</v>
      </c>
    </row>
    <row r="272" spans="1:19" hidden="1" x14ac:dyDescent="0.3">
      <c r="A272">
        <v>271</v>
      </c>
      <c r="B272" s="1">
        <v>43978</v>
      </c>
      <c r="C272">
        <v>98</v>
      </c>
      <c r="D272" t="s">
        <v>21</v>
      </c>
      <c r="E272" t="s">
        <v>95</v>
      </c>
      <c r="F272">
        <v>30</v>
      </c>
      <c r="G272" s="2">
        <v>108</v>
      </c>
      <c r="H272" s="2">
        <v>3240</v>
      </c>
      <c r="I272" s="1">
        <v>0.04</v>
      </c>
      <c r="J272" s="2">
        <v>3110.4</v>
      </c>
      <c r="K272" s="1">
        <v>43988</v>
      </c>
      <c r="L272" s="1">
        <v>43988</v>
      </c>
      <c r="M272">
        <v>271</v>
      </c>
      <c r="N272">
        <v>3</v>
      </c>
      <c r="O272" t="s">
        <v>20</v>
      </c>
      <c r="P272" s="3">
        <v>0.1</v>
      </c>
      <c r="Q272" s="2">
        <v>311.04000000000002</v>
      </c>
      <c r="R272">
        <v>5</v>
      </c>
      <c r="S272" t="str">
        <f t="shared" si="4"/>
        <v>Maio</v>
      </c>
    </row>
    <row r="273" spans="1:19" x14ac:dyDescent="0.3">
      <c r="A273">
        <v>272</v>
      </c>
      <c r="B273" s="1">
        <v>43978</v>
      </c>
      <c r="C273">
        <v>77</v>
      </c>
      <c r="D273" t="s">
        <v>52</v>
      </c>
      <c r="E273" t="s">
        <v>95</v>
      </c>
      <c r="F273">
        <v>28</v>
      </c>
      <c r="G273" s="2">
        <v>97</v>
      </c>
      <c r="H273" s="2">
        <v>2716</v>
      </c>
      <c r="I273" s="1">
        <v>0.12</v>
      </c>
      <c r="J273" s="2">
        <v>2390.08</v>
      </c>
      <c r="K273" s="1">
        <v>43979</v>
      </c>
      <c r="L273" s="1">
        <v>43979</v>
      </c>
      <c r="M273">
        <v>272</v>
      </c>
      <c r="N273">
        <v>5</v>
      </c>
      <c r="O273" t="s">
        <v>35</v>
      </c>
      <c r="P273" s="3">
        <v>0.06</v>
      </c>
      <c r="Q273" s="2">
        <v>143.40479999999999</v>
      </c>
      <c r="R273">
        <v>6</v>
      </c>
      <c r="S273" t="str">
        <f t="shared" si="4"/>
        <v>Maio</v>
      </c>
    </row>
    <row r="274" spans="1:19" hidden="1" x14ac:dyDescent="0.3">
      <c r="A274">
        <v>273</v>
      </c>
      <c r="B274" s="1">
        <v>43979</v>
      </c>
      <c r="C274">
        <v>73</v>
      </c>
      <c r="D274" t="s">
        <v>31</v>
      </c>
      <c r="E274" t="s">
        <v>104</v>
      </c>
      <c r="F274">
        <v>24</v>
      </c>
      <c r="G274" s="2">
        <v>102</v>
      </c>
      <c r="H274" s="2">
        <v>2448</v>
      </c>
      <c r="I274" s="1">
        <v>0.09</v>
      </c>
      <c r="J274" s="2">
        <v>2227.6799999999998</v>
      </c>
      <c r="K274" s="1">
        <v>44004</v>
      </c>
      <c r="L274" s="1">
        <v>44004</v>
      </c>
      <c r="M274">
        <v>273</v>
      </c>
      <c r="N274">
        <v>4</v>
      </c>
      <c r="O274" t="s">
        <v>20</v>
      </c>
      <c r="P274" s="3">
        <v>0.06</v>
      </c>
      <c r="Q274" s="2">
        <v>133.66079999999999</v>
      </c>
      <c r="R274">
        <v>7</v>
      </c>
      <c r="S274" t="str">
        <f t="shared" si="4"/>
        <v>Maio</v>
      </c>
    </row>
    <row r="275" spans="1:19" hidden="1" x14ac:dyDescent="0.3">
      <c r="A275">
        <v>274</v>
      </c>
      <c r="B275" s="1">
        <v>43980</v>
      </c>
      <c r="C275">
        <v>94</v>
      </c>
      <c r="D275" t="s">
        <v>40</v>
      </c>
      <c r="E275" t="s">
        <v>95</v>
      </c>
      <c r="F275">
        <v>47</v>
      </c>
      <c r="G275" s="2">
        <v>110</v>
      </c>
      <c r="H275" s="2">
        <v>5170</v>
      </c>
      <c r="I275" s="1">
        <v>0.06</v>
      </c>
      <c r="J275" s="2">
        <v>4859.8</v>
      </c>
      <c r="K275" s="1">
        <v>43988</v>
      </c>
      <c r="L275" s="1">
        <v>43988</v>
      </c>
      <c r="M275">
        <v>274</v>
      </c>
      <c r="N275">
        <v>4</v>
      </c>
      <c r="O275" t="s">
        <v>30</v>
      </c>
      <c r="P275" s="3">
        <v>7.0000000000000007E-2</v>
      </c>
      <c r="Q275" s="2">
        <v>340.18600000000004</v>
      </c>
      <c r="R275">
        <v>1</v>
      </c>
      <c r="S275" t="str">
        <f t="shared" si="4"/>
        <v>Maio</v>
      </c>
    </row>
    <row r="276" spans="1:19" hidden="1" x14ac:dyDescent="0.3">
      <c r="A276">
        <v>275</v>
      </c>
      <c r="B276" s="1">
        <v>43980</v>
      </c>
      <c r="C276">
        <v>42</v>
      </c>
      <c r="D276" t="s">
        <v>79</v>
      </c>
      <c r="E276" t="s">
        <v>97</v>
      </c>
      <c r="F276">
        <v>22</v>
      </c>
      <c r="G276" s="2">
        <v>119</v>
      </c>
      <c r="H276" s="2">
        <v>2618</v>
      </c>
      <c r="I276" s="1">
        <v>0.05</v>
      </c>
      <c r="J276" s="2">
        <v>2487.1</v>
      </c>
      <c r="K276" s="1">
        <v>44003</v>
      </c>
      <c r="L276" s="1">
        <v>44003</v>
      </c>
      <c r="M276">
        <v>275</v>
      </c>
      <c r="N276">
        <v>3</v>
      </c>
      <c r="O276" t="s">
        <v>18</v>
      </c>
      <c r="P276" s="3">
        <v>0.09</v>
      </c>
      <c r="Q276" s="2">
        <v>223.83899999999997</v>
      </c>
      <c r="R276">
        <v>2</v>
      </c>
      <c r="S276" t="str">
        <f t="shared" si="4"/>
        <v>Maio</v>
      </c>
    </row>
    <row r="277" spans="1:19" x14ac:dyDescent="0.3">
      <c r="A277">
        <v>276</v>
      </c>
      <c r="B277" s="1">
        <v>43980</v>
      </c>
      <c r="C277">
        <v>1</v>
      </c>
      <c r="D277" t="s">
        <v>80</v>
      </c>
      <c r="E277" t="s">
        <v>101</v>
      </c>
      <c r="F277">
        <v>47</v>
      </c>
      <c r="G277" s="2">
        <v>99</v>
      </c>
      <c r="H277" s="2">
        <v>4653</v>
      </c>
      <c r="I277" s="1">
        <v>0.12</v>
      </c>
      <c r="J277" s="2">
        <v>4094.64</v>
      </c>
      <c r="K277" s="1">
        <v>43989</v>
      </c>
      <c r="L277" s="1">
        <v>43989</v>
      </c>
      <c r="M277">
        <v>276</v>
      </c>
      <c r="N277">
        <v>1</v>
      </c>
      <c r="O277" t="s">
        <v>35</v>
      </c>
      <c r="P277" s="3">
        <v>0.06</v>
      </c>
      <c r="Q277" s="2">
        <v>245.67839999999998</v>
      </c>
      <c r="R277">
        <v>3</v>
      </c>
      <c r="S277" t="str">
        <f t="shared" si="4"/>
        <v>Maio</v>
      </c>
    </row>
    <row r="278" spans="1:19" hidden="1" x14ac:dyDescent="0.3">
      <c r="A278">
        <v>277</v>
      </c>
      <c r="B278" s="1">
        <v>43981</v>
      </c>
      <c r="C278">
        <v>63</v>
      </c>
      <c r="D278" t="s">
        <v>67</v>
      </c>
      <c r="E278" t="s">
        <v>98</v>
      </c>
      <c r="F278">
        <v>16</v>
      </c>
      <c r="G278" s="2">
        <v>92</v>
      </c>
      <c r="H278" s="2">
        <v>1472</v>
      </c>
      <c r="I278" s="1">
        <v>0.03</v>
      </c>
      <c r="J278" s="2">
        <v>1427.84</v>
      </c>
      <c r="K278" s="1">
        <v>44010</v>
      </c>
      <c r="L278" s="1">
        <v>44010</v>
      </c>
      <c r="M278">
        <v>277</v>
      </c>
      <c r="N278">
        <v>5</v>
      </c>
      <c r="O278" t="s">
        <v>30</v>
      </c>
      <c r="P278" s="3">
        <v>0.1</v>
      </c>
      <c r="Q278" s="2">
        <v>142.78399999999999</v>
      </c>
      <c r="R278">
        <v>4</v>
      </c>
      <c r="S278" t="str">
        <f t="shared" si="4"/>
        <v>Maio</v>
      </c>
    </row>
    <row r="279" spans="1:19" hidden="1" x14ac:dyDescent="0.3">
      <c r="A279">
        <v>278</v>
      </c>
      <c r="B279" s="1">
        <v>43981</v>
      </c>
      <c r="C279">
        <v>37</v>
      </c>
      <c r="D279" t="s">
        <v>39</v>
      </c>
      <c r="E279" t="s">
        <v>98</v>
      </c>
      <c r="F279">
        <v>40</v>
      </c>
      <c r="G279" s="2">
        <v>97</v>
      </c>
      <c r="H279" s="2">
        <v>3880</v>
      </c>
      <c r="I279" s="1">
        <v>0.04</v>
      </c>
      <c r="J279" s="2">
        <v>3724.8</v>
      </c>
      <c r="K279" s="1">
        <v>43988</v>
      </c>
      <c r="L279" s="1">
        <v>43988</v>
      </c>
      <c r="M279">
        <v>278</v>
      </c>
      <c r="N279">
        <v>2</v>
      </c>
      <c r="O279" t="s">
        <v>25</v>
      </c>
      <c r="P279" s="3">
        <v>0.05</v>
      </c>
      <c r="Q279" s="2">
        <v>186.24</v>
      </c>
      <c r="R279">
        <v>5</v>
      </c>
      <c r="S279" t="str">
        <f t="shared" si="4"/>
        <v>Maio</v>
      </c>
    </row>
    <row r="280" spans="1:19" hidden="1" x14ac:dyDescent="0.3">
      <c r="A280">
        <v>279</v>
      </c>
      <c r="B280" s="1">
        <v>43981</v>
      </c>
      <c r="C280">
        <v>10</v>
      </c>
      <c r="D280" t="s">
        <v>76</v>
      </c>
      <c r="E280" t="s">
        <v>103</v>
      </c>
      <c r="F280">
        <v>17</v>
      </c>
      <c r="G280" s="2">
        <v>118</v>
      </c>
      <c r="H280" s="2">
        <v>2006</v>
      </c>
      <c r="I280" s="1">
        <v>0.15</v>
      </c>
      <c r="J280" s="2">
        <v>1705.1</v>
      </c>
      <c r="K280" s="1">
        <v>43985</v>
      </c>
      <c r="L280" s="1">
        <v>43985</v>
      </c>
      <c r="M280">
        <v>279</v>
      </c>
      <c r="N280">
        <v>3</v>
      </c>
      <c r="O280" t="s">
        <v>42</v>
      </c>
      <c r="P280" s="3">
        <v>0.09</v>
      </c>
      <c r="Q280" s="2">
        <v>153.45899999999997</v>
      </c>
      <c r="R280">
        <v>6</v>
      </c>
      <c r="S280" t="str">
        <f t="shared" si="4"/>
        <v>Maio</v>
      </c>
    </row>
    <row r="281" spans="1:19" x14ac:dyDescent="0.3">
      <c r="A281">
        <v>280</v>
      </c>
      <c r="B281" s="1">
        <v>43982</v>
      </c>
      <c r="C281">
        <v>4</v>
      </c>
      <c r="D281" t="s">
        <v>73</v>
      </c>
      <c r="E281" t="s">
        <v>95</v>
      </c>
      <c r="F281">
        <v>18</v>
      </c>
      <c r="G281" s="2">
        <v>104</v>
      </c>
      <c r="H281" s="2">
        <v>1872</v>
      </c>
      <c r="I281" s="1">
        <v>0.13</v>
      </c>
      <c r="J281" s="2">
        <v>1628.6399999999999</v>
      </c>
      <c r="K281" s="1">
        <v>44008</v>
      </c>
      <c r="L281" s="1">
        <v>44008</v>
      </c>
      <c r="M281">
        <v>280</v>
      </c>
      <c r="N281">
        <v>5</v>
      </c>
      <c r="O281" t="s">
        <v>35</v>
      </c>
      <c r="P281" s="3">
        <v>0.05</v>
      </c>
      <c r="Q281" s="2">
        <v>81.432000000000002</v>
      </c>
      <c r="R281">
        <v>7</v>
      </c>
      <c r="S281" t="str">
        <f t="shared" si="4"/>
        <v>Maio</v>
      </c>
    </row>
    <row r="282" spans="1:19" hidden="1" x14ac:dyDescent="0.3">
      <c r="A282">
        <v>281</v>
      </c>
      <c r="B282" s="1">
        <v>43982</v>
      </c>
      <c r="C282">
        <v>59</v>
      </c>
      <c r="D282" t="s">
        <v>84</v>
      </c>
      <c r="E282" t="s">
        <v>95</v>
      </c>
      <c r="F282">
        <v>38</v>
      </c>
      <c r="G282" s="2">
        <v>110</v>
      </c>
      <c r="H282" s="2">
        <v>4180</v>
      </c>
      <c r="I282" s="1">
        <v>0.13</v>
      </c>
      <c r="J282" s="2">
        <v>3636.6</v>
      </c>
      <c r="K282" s="1">
        <v>43993</v>
      </c>
      <c r="L282" s="1">
        <v>43993</v>
      </c>
      <c r="M282">
        <v>281</v>
      </c>
      <c r="N282">
        <v>7</v>
      </c>
      <c r="O282" t="s">
        <v>56</v>
      </c>
      <c r="P282" s="3">
        <v>0.08</v>
      </c>
      <c r="Q282" s="2">
        <v>290.928</v>
      </c>
      <c r="R282">
        <v>1</v>
      </c>
      <c r="S282" t="str">
        <f t="shared" si="4"/>
        <v>Maio</v>
      </c>
    </row>
    <row r="283" spans="1:19" hidden="1" x14ac:dyDescent="0.3">
      <c r="A283">
        <v>282</v>
      </c>
      <c r="B283" s="1">
        <v>43983</v>
      </c>
      <c r="C283">
        <v>55</v>
      </c>
      <c r="D283" t="s">
        <v>36</v>
      </c>
      <c r="E283" t="s">
        <v>102</v>
      </c>
      <c r="F283">
        <v>30</v>
      </c>
      <c r="G283" s="2">
        <v>108</v>
      </c>
      <c r="H283" s="2">
        <v>3240</v>
      </c>
      <c r="I283" s="1">
        <v>0</v>
      </c>
      <c r="J283" s="2">
        <v>3240</v>
      </c>
      <c r="K283" s="1">
        <v>43997</v>
      </c>
      <c r="L283" s="1">
        <v>43997</v>
      </c>
      <c r="M283">
        <v>282</v>
      </c>
      <c r="N283">
        <v>3</v>
      </c>
      <c r="O283" t="s">
        <v>30</v>
      </c>
      <c r="P283" s="3">
        <v>0.05</v>
      </c>
      <c r="Q283" s="2">
        <v>162</v>
      </c>
      <c r="R283">
        <v>2</v>
      </c>
      <c r="S283" t="str">
        <f t="shared" si="4"/>
        <v>Junho</v>
      </c>
    </row>
    <row r="284" spans="1:19" hidden="1" x14ac:dyDescent="0.3">
      <c r="A284">
        <v>283</v>
      </c>
      <c r="B284" s="1">
        <v>43983</v>
      </c>
      <c r="C284">
        <v>18</v>
      </c>
      <c r="D284" t="s">
        <v>70</v>
      </c>
      <c r="E284" t="s">
        <v>96</v>
      </c>
      <c r="F284">
        <v>35</v>
      </c>
      <c r="G284" s="2">
        <v>102</v>
      </c>
      <c r="H284" s="2">
        <v>3570</v>
      </c>
      <c r="I284" s="1">
        <v>0.03</v>
      </c>
      <c r="J284" s="2">
        <v>3462.9</v>
      </c>
      <c r="K284" s="1">
        <v>44004</v>
      </c>
      <c r="L284" s="1">
        <v>44004</v>
      </c>
      <c r="M284">
        <v>283</v>
      </c>
      <c r="N284">
        <v>7</v>
      </c>
      <c r="O284" t="s">
        <v>56</v>
      </c>
      <c r="P284" s="3">
        <v>0.08</v>
      </c>
      <c r="Q284" s="2">
        <v>277.03200000000004</v>
      </c>
      <c r="R284">
        <v>3</v>
      </c>
      <c r="S284" t="str">
        <f t="shared" si="4"/>
        <v>Junho</v>
      </c>
    </row>
    <row r="285" spans="1:19" hidden="1" x14ac:dyDescent="0.3">
      <c r="A285">
        <v>284</v>
      </c>
      <c r="B285" s="1">
        <v>43983</v>
      </c>
      <c r="C285">
        <v>98</v>
      </c>
      <c r="D285" t="s">
        <v>21</v>
      </c>
      <c r="E285" t="s">
        <v>97</v>
      </c>
      <c r="F285">
        <v>18</v>
      </c>
      <c r="G285" s="2">
        <v>94</v>
      </c>
      <c r="H285" s="2">
        <v>1692</v>
      </c>
      <c r="I285" s="1">
        <v>0.05</v>
      </c>
      <c r="J285" s="2">
        <v>1607.4</v>
      </c>
      <c r="K285" s="1">
        <v>43996</v>
      </c>
      <c r="L285" s="1">
        <v>43996</v>
      </c>
      <c r="M285">
        <v>284</v>
      </c>
      <c r="N285">
        <v>3</v>
      </c>
      <c r="O285" t="s">
        <v>23</v>
      </c>
      <c r="P285" s="3">
        <v>0.1</v>
      </c>
      <c r="Q285" s="2">
        <v>160.74</v>
      </c>
      <c r="R285">
        <v>4</v>
      </c>
      <c r="S285" t="str">
        <f t="shared" si="4"/>
        <v>Junho</v>
      </c>
    </row>
    <row r="286" spans="1:19" hidden="1" x14ac:dyDescent="0.3">
      <c r="A286">
        <v>285</v>
      </c>
      <c r="B286" s="1">
        <v>43984</v>
      </c>
      <c r="C286">
        <v>83</v>
      </c>
      <c r="D286" t="s">
        <v>87</v>
      </c>
      <c r="E286" t="s">
        <v>96</v>
      </c>
      <c r="F286">
        <v>19</v>
      </c>
      <c r="G286" s="2">
        <v>117</v>
      </c>
      <c r="H286" s="2">
        <v>2223</v>
      </c>
      <c r="I286" s="1">
        <v>0.13</v>
      </c>
      <c r="J286" s="2">
        <v>1934.01</v>
      </c>
      <c r="K286" s="1">
        <v>43997</v>
      </c>
      <c r="L286" s="1">
        <v>43997</v>
      </c>
      <c r="M286">
        <v>285</v>
      </c>
      <c r="N286">
        <v>3</v>
      </c>
      <c r="O286" t="s">
        <v>18</v>
      </c>
      <c r="P286" s="3">
        <v>0.08</v>
      </c>
      <c r="Q286" s="2">
        <v>154.7208</v>
      </c>
      <c r="R286">
        <v>5</v>
      </c>
      <c r="S286" t="str">
        <f t="shared" si="4"/>
        <v>Junho</v>
      </c>
    </row>
    <row r="287" spans="1:19" hidden="1" x14ac:dyDescent="0.3">
      <c r="A287">
        <v>286</v>
      </c>
      <c r="B287" s="1">
        <v>43986</v>
      </c>
      <c r="C287">
        <v>75</v>
      </c>
      <c r="D287" t="s">
        <v>31</v>
      </c>
      <c r="E287" t="s">
        <v>98</v>
      </c>
      <c r="F287">
        <v>17</v>
      </c>
      <c r="G287" s="2">
        <v>118</v>
      </c>
      <c r="H287" s="2">
        <v>2006</v>
      </c>
      <c r="I287" s="1">
        <v>0.04</v>
      </c>
      <c r="J287" s="2">
        <v>1925.76</v>
      </c>
      <c r="K287" s="1">
        <v>44013</v>
      </c>
      <c r="L287" s="1">
        <v>44013</v>
      </c>
      <c r="M287">
        <v>286</v>
      </c>
      <c r="N287">
        <v>7</v>
      </c>
      <c r="O287" t="s">
        <v>56</v>
      </c>
      <c r="P287" s="3">
        <v>7.0000000000000007E-2</v>
      </c>
      <c r="Q287" s="2">
        <v>134.8032</v>
      </c>
      <c r="R287">
        <v>6</v>
      </c>
      <c r="S287" t="str">
        <f t="shared" si="4"/>
        <v>Junho</v>
      </c>
    </row>
    <row r="288" spans="1:19" hidden="1" x14ac:dyDescent="0.3">
      <c r="A288">
        <v>287</v>
      </c>
      <c r="B288" s="1">
        <v>43986</v>
      </c>
      <c r="C288">
        <v>70</v>
      </c>
      <c r="D288" t="s">
        <v>54</v>
      </c>
      <c r="E288" t="s">
        <v>104</v>
      </c>
      <c r="F288">
        <v>22</v>
      </c>
      <c r="G288" s="2">
        <v>115</v>
      </c>
      <c r="H288" s="2">
        <v>2530</v>
      </c>
      <c r="I288" s="1">
        <v>0.06</v>
      </c>
      <c r="J288" s="2">
        <v>2378.1999999999998</v>
      </c>
      <c r="K288" s="1">
        <v>44004</v>
      </c>
      <c r="L288" s="1">
        <v>44004</v>
      </c>
      <c r="M288">
        <v>287</v>
      </c>
      <c r="N288">
        <v>6</v>
      </c>
      <c r="O288" t="s">
        <v>23</v>
      </c>
      <c r="P288" s="3">
        <v>0.06</v>
      </c>
      <c r="Q288" s="2">
        <v>142.69199999999998</v>
      </c>
      <c r="R288">
        <v>7</v>
      </c>
      <c r="S288" t="str">
        <f t="shared" si="4"/>
        <v>Junho</v>
      </c>
    </row>
    <row r="289" spans="1:19" hidden="1" x14ac:dyDescent="0.3">
      <c r="A289">
        <v>288</v>
      </c>
      <c r="B289" s="1">
        <v>43987</v>
      </c>
      <c r="C289">
        <v>48</v>
      </c>
      <c r="D289" t="s">
        <v>48</v>
      </c>
      <c r="E289" t="s">
        <v>95</v>
      </c>
      <c r="F289">
        <v>16</v>
      </c>
      <c r="G289" s="2">
        <v>112</v>
      </c>
      <c r="H289" s="2">
        <v>1792</v>
      </c>
      <c r="I289" s="1">
        <v>0.04</v>
      </c>
      <c r="J289" s="2">
        <v>1720.32</v>
      </c>
      <c r="K289" s="1">
        <v>44009</v>
      </c>
      <c r="L289" s="1">
        <v>44009</v>
      </c>
      <c r="M289">
        <v>288</v>
      </c>
      <c r="N289">
        <v>6</v>
      </c>
      <c r="O289" t="s">
        <v>30</v>
      </c>
      <c r="P289" s="3">
        <v>0.08</v>
      </c>
      <c r="Q289" s="2">
        <v>137.62559999999999</v>
      </c>
      <c r="R289">
        <v>1</v>
      </c>
      <c r="S289" t="str">
        <f t="shared" si="4"/>
        <v>Junho</v>
      </c>
    </row>
    <row r="290" spans="1:19" hidden="1" x14ac:dyDescent="0.3">
      <c r="A290">
        <v>289</v>
      </c>
      <c r="B290" s="1">
        <v>43988</v>
      </c>
      <c r="C290">
        <v>25</v>
      </c>
      <c r="D290" t="s">
        <v>50</v>
      </c>
      <c r="E290" t="s">
        <v>103</v>
      </c>
      <c r="F290">
        <v>37</v>
      </c>
      <c r="G290" s="2">
        <v>99</v>
      </c>
      <c r="H290" s="2">
        <v>3663</v>
      </c>
      <c r="I290" s="1">
        <v>0.03</v>
      </c>
      <c r="J290" s="2">
        <v>3553.11</v>
      </c>
      <c r="K290" s="1">
        <v>44015</v>
      </c>
      <c r="L290" s="1">
        <v>44015</v>
      </c>
      <c r="M290">
        <v>289</v>
      </c>
      <c r="N290">
        <v>6</v>
      </c>
      <c r="O290" t="s">
        <v>56</v>
      </c>
      <c r="P290" s="3">
        <v>7.0000000000000007E-2</v>
      </c>
      <c r="Q290" s="2">
        <v>248.71770000000004</v>
      </c>
      <c r="R290">
        <v>2</v>
      </c>
      <c r="S290" t="str">
        <f t="shared" si="4"/>
        <v>Junho</v>
      </c>
    </row>
    <row r="291" spans="1:19" hidden="1" x14ac:dyDescent="0.3">
      <c r="A291">
        <v>290</v>
      </c>
      <c r="B291" s="1">
        <v>43988</v>
      </c>
      <c r="C291">
        <v>62</v>
      </c>
      <c r="D291" t="s">
        <v>31</v>
      </c>
      <c r="E291" t="s">
        <v>104</v>
      </c>
      <c r="F291">
        <v>29</v>
      </c>
      <c r="G291" s="2">
        <v>120</v>
      </c>
      <c r="H291" s="2">
        <v>3480</v>
      </c>
      <c r="I291" s="1">
        <v>7.0000000000000007E-2</v>
      </c>
      <c r="J291" s="2">
        <v>3236.4</v>
      </c>
      <c r="K291" s="1">
        <v>43995</v>
      </c>
      <c r="L291" s="1">
        <v>43995</v>
      </c>
      <c r="M291">
        <v>290</v>
      </c>
      <c r="N291">
        <v>5</v>
      </c>
      <c r="O291" t="s">
        <v>27</v>
      </c>
      <c r="P291" s="3">
        <v>0.1</v>
      </c>
      <c r="Q291" s="2">
        <v>323.64000000000004</v>
      </c>
      <c r="R291">
        <v>3</v>
      </c>
      <c r="S291" t="str">
        <f t="shared" si="4"/>
        <v>Junho</v>
      </c>
    </row>
    <row r="292" spans="1:19" hidden="1" x14ac:dyDescent="0.3">
      <c r="A292">
        <v>291</v>
      </c>
      <c r="B292" s="1">
        <v>43988</v>
      </c>
      <c r="C292">
        <v>89</v>
      </c>
      <c r="D292" t="s">
        <v>40</v>
      </c>
      <c r="E292" t="s">
        <v>102</v>
      </c>
      <c r="F292">
        <v>26</v>
      </c>
      <c r="G292" s="2">
        <v>105</v>
      </c>
      <c r="H292" s="2">
        <v>2730</v>
      </c>
      <c r="I292" s="1">
        <v>0.05</v>
      </c>
      <c r="J292" s="2">
        <v>2593.5</v>
      </c>
      <c r="K292" s="1">
        <v>44018</v>
      </c>
      <c r="M292">
        <v>291</v>
      </c>
      <c r="N292">
        <v>1</v>
      </c>
      <c r="O292" t="s">
        <v>20</v>
      </c>
      <c r="P292" s="3">
        <v>0.1</v>
      </c>
      <c r="Q292" s="2">
        <v>259.35000000000002</v>
      </c>
      <c r="R292">
        <v>4</v>
      </c>
      <c r="S292" t="str">
        <f t="shared" si="4"/>
        <v>Junho</v>
      </c>
    </row>
    <row r="293" spans="1:19" x14ac:dyDescent="0.3">
      <c r="A293">
        <v>292</v>
      </c>
      <c r="B293" s="1">
        <v>43988</v>
      </c>
      <c r="C293">
        <v>16</v>
      </c>
      <c r="D293" t="s">
        <v>22</v>
      </c>
      <c r="E293" t="s">
        <v>96</v>
      </c>
      <c r="F293">
        <v>36</v>
      </c>
      <c r="G293" s="2">
        <v>119</v>
      </c>
      <c r="H293" s="2">
        <v>4284</v>
      </c>
      <c r="I293" s="1">
        <v>0.02</v>
      </c>
      <c r="J293" s="2">
        <v>4198.32</v>
      </c>
      <c r="K293" s="1">
        <v>44009</v>
      </c>
      <c r="L293" s="1">
        <v>44009</v>
      </c>
      <c r="M293">
        <v>292</v>
      </c>
      <c r="N293">
        <v>6</v>
      </c>
      <c r="O293" t="s">
        <v>35</v>
      </c>
      <c r="P293" s="3">
        <v>0.05</v>
      </c>
      <c r="Q293" s="2">
        <v>209.916</v>
      </c>
      <c r="R293">
        <v>5</v>
      </c>
      <c r="S293" t="str">
        <f t="shared" si="4"/>
        <v>Junho</v>
      </c>
    </row>
    <row r="294" spans="1:19" hidden="1" x14ac:dyDescent="0.3">
      <c r="A294">
        <v>293</v>
      </c>
      <c r="B294" s="1">
        <v>43989</v>
      </c>
      <c r="C294">
        <v>85</v>
      </c>
      <c r="D294" t="s">
        <v>45</v>
      </c>
      <c r="E294" t="s">
        <v>99</v>
      </c>
      <c r="F294">
        <v>46</v>
      </c>
      <c r="G294" s="2">
        <v>117</v>
      </c>
      <c r="H294" s="2">
        <v>5382</v>
      </c>
      <c r="I294" s="1">
        <v>0.14000000000000001</v>
      </c>
      <c r="J294" s="2">
        <v>4628.5200000000004</v>
      </c>
      <c r="K294" s="1">
        <v>44010</v>
      </c>
      <c r="L294" s="1">
        <v>44010</v>
      </c>
      <c r="M294">
        <v>293</v>
      </c>
      <c r="N294">
        <v>1</v>
      </c>
      <c r="O294" t="s">
        <v>27</v>
      </c>
      <c r="P294" s="3">
        <v>0.05</v>
      </c>
      <c r="Q294" s="2">
        <v>231.42600000000004</v>
      </c>
      <c r="R294">
        <v>6</v>
      </c>
      <c r="S294" t="str">
        <f t="shared" si="4"/>
        <v>Junho</v>
      </c>
    </row>
    <row r="295" spans="1:19" hidden="1" x14ac:dyDescent="0.3">
      <c r="A295">
        <v>294</v>
      </c>
      <c r="B295" s="1">
        <v>43989</v>
      </c>
      <c r="C295">
        <v>90</v>
      </c>
      <c r="D295" t="s">
        <v>47</v>
      </c>
      <c r="E295" t="s">
        <v>99</v>
      </c>
      <c r="F295">
        <v>29</v>
      </c>
      <c r="G295" s="2">
        <v>101</v>
      </c>
      <c r="H295" s="2">
        <v>2929</v>
      </c>
      <c r="I295" s="1">
        <v>0.11</v>
      </c>
      <c r="J295" s="2">
        <v>2606.81</v>
      </c>
      <c r="K295" s="1">
        <v>44018</v>
      </c>
      <c r="L295" s="1">
        <v>44018</v>
      </c>
      <c r="M295">
        <v>294</v>
      </c>
      <c r="N295">
        <v>3</v>
      </c>
      <c r="O295" t="s">
        <v>27</v>
      </c>
      <c r="P295" s="3">
        <v>7.0000000000000007E-2</v>
      </c>
      <c r="Q295" s="2">
        <v>182.47670000000002</v>
      </c>
      <c r="R295">
        <v>7</v>
      </c>
      <c r="S295" t="str">
        <f t="shared" si="4"/>
        <v>Junho</v>
      </c>
    </row>
    <row r="296" spans="1:19" hidden="1" x14ac:dyDescent="0.3">
      <c r="A296">
        <v>295</v>
      </c>
      <c r="B296" s="1">
        <v>43991</v>
      </c>
      <c r="C296">
        <v>36</v>
      </c>
      <c r="D296" t="s">
        <v>57</v>
      </c>
      <c r="E296" t="s">
        <v>95</v>
      </c>
      <c r="F296">
        <v>18</v>
      </c>
      <c r="G296" s="2">
        <v>95</v>
      </c>
      <c r="H296" s="2">
        <v>1710</v>
      </c>
      <c r="I296" s="1">
        <v>0.12</v>
      </c>
      <c r="J296" s="2">
        <v>1504.8</v>
      </c>
      <c r="K296" s="1">
        <v>44016</v>
      </c>
      <c r="L296" s="1">
        <v>44016</v>
      </c>
      <c r="M296">
        <v>295</v>
      </c>
      <c r="N296">
        <v>6</v>
      </c>
      <c r="O296" t="s">
        <v>18</v>
      </c>
      <c r="P296" s="3">
        <v>0.1</v>
      </c>
      <c r="Q296" s="2">
        <v>150.47999999999999</v>
      </c>
      <c r="R296">
        <v>1</v>
      </c>
      <c r="S296" t="str">
        <f t="shared" si="4"/>
        <v>Junho</v>
      </c>
    </row>
    <row r="297" spans="1:19" hidden="1" x14ac:dyDescent="0.3">
      <c r="A297">
        <v>296</v>
      </c>
      <c r="B297" s="1">
        <v>43992</v>
      </c>
      <c r="C297">
        <v>79</v>
      </c>
      <c r="D297" t="s">
        <v>26</v>
      </c>
      <c r="E297" t="s">
        <v>96</v>
      </c>
      <c r="F297">
        <v>41</v>
      </c>
      <c r="G297" s="2">
        <v>112</v>
      </c>
      <c r="H297" s="2">
        <v>4592</v>
      </c>
      <c r="I297" s="1">
        <v>0.1</v>
      </c>
      <c r="J297" s="2">
        <v>4132.8</v>
      </c>
      <c r="K297" s="1">
        <v>44019</v>
      </c>
      <c r="L297" s="1">
        <v>44019</v>
      </c>
      <c r="M297">
        <v>296</v>
      </c>
      <c r="N297">
        <v>1</v>
      </c>
      <c r="O297" t="s">
        <v>18</v>
      </c>
      <c r="P297" s="3">
        <v>0.1</v>
      </c>
      <c r="Q297" s="2">
        <v>413.28000000000003</v>
      </c>
      <c r="R297">
        <v>2</v>
      </c>
      <c r="S297" t="str">
        <f t="shared" si="4"/>
        <v>Junho</v>
      </c>
    </row>
    <row r="298" spans="1:19" hidden="1" x14ac:dyDescent="0.3">
      <c r="A298">
        <v>297</v>
      </c>
      <c r="B298" s="1">
        <v>43992</v>
      </c>
      <c r="C298">
        <v>95</v>
      </c>
      <c r="D298" t="s">
        <v>31</v>
      </c>
      <c r="E298" t="s">
        <v>100</v>
      </c>
      <c r="F298">
        <v>37</v>
      </c>
      <c r="G298" s="2">
        <v>96</v>
      </c>
      <c r="H298" s="2">
        <v>3552</v>
      </c>
      <c r="I298" s="1">
        <v>0.1</v>
      </c>
      <c r="J298" s="2">
        <v>3196.8</v>
      </c>
      <c r="K298" s="1">
        <v>44004</v>
      </c>
      <c r="L298" s="1">
        <v>44004</v>
      </c>
      <c r="M298">
        <v>297</v>
      </c>
      <c r="N298">
        <v>7</v>
      </c>
      <c r="O298" t="s">
        <v>18</v>
      </c>
      <c r="P298" s="3">
        <v>0.06</v>
      </c>
      <c r="Q298" s="2">
        <v>191.80799999999999</v>
      </c>
      <c r="R298">
        <v>3</v>
      </c>
      <c r="S298" t="str">
        <f t="shared" si="4"/>
        <v>Junho</v>
      </c>
    </row>
    <row r="299" spans="1:19" hidden="1" x14ac:dyDescent="0.3">
      <c r="A299">
        <v>298</v>
      </c>
      <c r="B299" s="1">
        <v>43992</v>
      </c>
      <c r="C299">
        <v>7</v>
      </c>
      <c r="D299" t="s">
        <v>89</v>
      </c>
      <c r="E299" t="s">
        <v>99</v>
      </c>
      <c r="F299">
        <v>12</v>
      </c>
      <c r="G299" s="2">
        <v>110</v>
      </c>
      <c r="H299" s="2">
        <v>1320</v>
      </c>
      <c r="I299" s="1">
        <v>0.1</v>
      </c>
      <c r="J299" s="2">
        <v>1188</v>
      </c>
      <c r="K299" s="1">
        <v>43996</v>
      </c>
      <c r="L299" s="1">
        <v>43996</v>
      </c>
      <c r="M299">
        <v>298</v>
      </c>
      <c r="N299">
        <v>6</v>
      </c>
      <c r="O299" t="s">
        <v>30</v>
      </c>
      <c r="P299" s="3">
        <v>7.0000000000000007E-2</v>
      </c>
      <c r="Q299" s="2">
        <v>83.160000000000011</v>
      </c>
      <c r="R299">
        <v>4</v>
      </c>
      <c r="S299" t="str">
        <f t="shared" si="4"/>
        <v>Junho</v>
      </c>
    </row>
    <row r="300" spans="1:19" hidden="1" x14ac:dyDescent="0.3">
      <c r="A300">
        <v>299</v>
      </c>
      <c r="B300" s="1">
        <v>43993</v>
      </c>
      <c r="C300">
        <v>30</v>
      </c>
      <c r="D300" t="s">
        <v>83</v>
      </c>
      <c r="E300" t="s">
        <v>98</v>
      </c>
      <c r="F300">
        <v>17</v>
      </c>
      <c r="G300" s="2">
        <v>104</v>
      </c>
      <c r="H300" s="2">
        <v>1768</v>
      </c>
      <c r="I300" s="1">
        <v>0.09</v>
      </c>
      <c r="J300" s="2">
        <v>1608.88</v>
      </c>
      <c r="K300" s="1">
        <v>44021</v>
      </c>
      <c r="L300" s="1">
        <v>44021</v>
      </c>
      <c r="M300">
        <v>299</v>
      </c>
      <c r="N300">
        <v>5</v>
      </c>
      <c r="O300" t="s">
        <v>25</v>
      </c>
      <c r="P300" s="3">
        <v>0.05</v>
      </c>
      <c r="Q300" s="2">
        <v>80.444000000000017</v>
      </c>
      <c r="R300">
        <v>5</v>
      </c>
      <c r="S300" t="str">
        <f t="shared" si="4"/>
        <v>Junho</v>
      </c>
    </row>
    <row r="301" spans="1:19" hidden="1" x14ac:dyDescent="0.3">
      <c r="A301">
        <v>300</v>
      </c>
      <c r="B301" s="1">
        <v>43993</v>
      </c>
      <c r="C301">
        <v>51</v>
      </c>
      <c r="D301" t="s">
        <v>43</v>
      </c>
      <c r="E301" t="s">
        <v>97</v>
      </c>
      <c r="F301">
        <v>45</v>
      </c>
      <c r="G301" s="2">
        <v>109</v>
      </c>
      <c r="H301" s="2">
        <v>4905</v>
      </c>
      <c r="I301" s="1">
        <v>0.1</v>
      </c>
      <c r="J301" s="2">
        <v>4414.5</v>
      </c>
      <c r="K301" s="1">
        <v>44000</v>
      </c>
      <c r="L301" s="1">
        <v>44000</v>
      </c>
      <c r="M301">
        <v>300</v>
      </c>
      <c r="N301">
        <v>2</v>
      </c>
      <c r="O301" t="s">
        <v>38</v>
      </c>
      <c r="P301" s="3">
        <v>0.06</v>
      </c>
      <c r="Q301" s="2">
        <v>264.87</v>
      </c>
      <c r="R301">
        <v>6</v>
      </c>
      <c r="S301" t="str">
        <f t="shared" si="4"/>
        <v>Junho</v>
      </c>
    </row>
    <row r="302" spans="1:19" hidden="1" x14ac:dyDescent="0.3">
      <c r="A302">
        <v>301</v>
      </c>
      <c r="B302" s="1">
        <v>43994</v>
      </c>
      <c r="C302">
        <v>78</v>
      </c>
      <c r="D302" t="s">
        <v>29</v>
      </c>
      <c r="E302" t="s">
        <v>100</v>
      </c>
      <c r="F302">
        <v>37</v>
      </c>
      <c r="G302" s="2">
        <v>101</v>
      </c>
      <c r="H302" s="2">
        <v>3737</v>
      </c>
      <c r="I302" s="1">
        <v>0.14000000000000001</v>
      </c>
      <c r="J302" s="2">
        <v>3213.8199999999997</v>
      </c>
      <c r="K302" s="1">
        <v>44001</v>
      </c>
      <c r="L302" s="1">
        <v>44001</v>
      </c>
      <c r="M302">
        <v>301</v>
      </c>
      <c r="N302">
        <v>1</v>
      </c>
      <c r="O302" t="s">
        <v>23</v>
      </c>
      <c r="P302" s="3">
        <v>0.09</v>
      </c>
      <c r="Q302" s="2">
        <v>289.24379999999996</v>
      </c>
      <c r="R302">
        <v>7</v>
      </c>
      <c r="S302" t="str">
        <f t="shared" si="4"/>
        <v>Junho</v>
      </c>
    </row>
    <row r="303" spans="1:19" hidden="1" x14ac:dyDescent="0.3">
      <c r="A303">
        <v>302</v>
      </c>
      <c r="B303" s="1">
        <v>43994</v>
      </c>
      <c r="C303">
        <v>5</v>
      </c>
      <c r="D303" t="s">
        <v>31</v>
      </c>
      <c r="E303" t="s">
        <v>103</v>
      </c>
      <c r="F303">
        <v>48</v>
      </c>
      <c r="G303" s="2">
        <v>107</v>
      </c>
      <c r="H303" s="2">
        <v>5136</v>
      </c>
      <c r="I303" s="1">
        <v>0.04</v>
      </c>
      <c r="J303" s="2">
        <v>4930.5600000000004</v>
      </c>
      <c r="K303" s="1">
        <v>44000</v>
      </c>
      <c r="M303">
        <v>302</v>
      </c>
      <c r="N303">
        <v>1</v>
      </c>
      <c r="O303" t="s">
        <v>18</v>
      </c>
      <c r="P303" s="3">
        <v>0.05</v>
      </c>
      <c r="Q303" s="2">
        <v>246.52800000000002</v>
      </c>
      <c r="R303">
        <v>1</v>
      </c>
      <c r="S303" t="str">
        <f t="shared" si="4"/>
        <v>Junho</v>
      </c>
    </row>
    <row r="304" spans="1:19" hidden="1" x14ac:dyDescent="0.3">
      <c r="A304">
        <v>303</v>
      </c>
      <c r="B304" s="1">
        <v>43994</v>
      </c>
      <c r="C304">
        <v>33</v>
      </c>
      <c r="D304" t="s">
        <v>63</v>
      </c>
      <c r="E304" t="s">
        <v>102</v>
      </c>
      <c r="F304">
        <v>28</v>
      </c>
      <c r="G304" s="2">
        <v>104</v>
      </c>
      <c r="H304" s="2">
        <v>2912</v>
      </c>
      <c r="I304" s="1">
        <v>0.09</v>
      </c>
      <c r="J304" s="2">
        <v>2649.92</v>
      </c>
      <c r="K304" s="1">
        <v>44009</v>
      </c>
      <c r="L304" s="1">
        <v>44009</v>
      </c>
      <c r="M304">
        <v>303</v>
      </c>
      <c r="N304">
        <v>4</v>
      </c>
      <c r="O304" t="s">
        <v>27</v>
      </c>
      <c r="P304" s="3">
        <v>0.1</v>
      </c>
      <c r="Q304" s="2">
        <v>264.99200000000002</v>
      </c>
      <c r="R304">
        <v>2</v>
      </c>
      <c r="S304" t="str">
        <f t="shared" si="4"/>
        <v>Junho</v>
      </c>
    </row>
    <row r="305" spans="1:19" hidden="1" x14ac:dyDescent="0.3">
      <c r="A305">
        <v>304</v>
      </c>
      <c r="B305" s="1">
        <v>43996</v>
      </c>
      <c r="C305">
        <v>6</v>
      </c>
      <c r="D305" t="s">
        <v>75</v>
      </c>
      <c r="E305" t="s">
        <v>101</v>
      </c>
      <c r="F305">
        <v>45</v>
      </c>
      <c r="G305" s="2">
        <v>107</v>
      </c>
      <c r="H305" s="2">
        <v>4815</v>
      </c>
      <c r="I305" s="1">
        <v>0.06</v>
      </c>
      <c r="J305" s="2">
        <v>4526.1000000000004</v>
      </c>
      <c r="K305" s="1">
        <v>44009</v>
      </c>
      <c r="L305" s="1">
        <v>44009</v>
      </c>
      <c r="M305">
        <v>304</v>
      </c>
      <c r="N305">
        <v>7</v>
      </c>
      <c r="O305" t="s">
        <v>38</v>
      </c>
      <c r="P305" s="3">
        <v>0.1</v>
      </c>
      <c r="Q305" s="2">
        <v>452.61000000000007</v>
      </c>
      <c r="R305">
        <v>3</v>
      </c>
      <c r="S305" t="str">
        <f t="shared" si="4"/>
        <v>Junho</v>
      </c>
    </row>
    <row r="306" spans="1:19" hidden="1" x14ac:dyDescent="0.3">
      <c r="A306">
        <v>305</v>
      </c>
      <c r="B306" s="1">
        <v>43996</v>
      </c>
      <c r="C306">
        <v>4</v>
      </c>
      <c r="D306" t="s">
        <v>73</v>
      </c>
      <c r="E306" t="s">
        <v>96</v>
      </c>
      <c r="F306">
        <v>15</v>
      </c>
      <c r="G306" s="2">
        <v>110</v>
      </c>
      <c r="H306" s="2">
        <v>1650</v>
      </c>
      <c r="I306" s="1">
        <v>0.03</v>
      </c>
      <c r="J306" s="2">
        <v>1600.5</v>
      </c>
      <c r="K306" s="1">
        <v>44017</v>
      </c>
      <c r="L306" s="1">
        <v>44017</v>
      </c>
      <c r="M306">
        <v>305</v>
      </c>
      <c r="N306">
        <v>2</v>
      </c>
      <c r="O306" t="s">
        <v>23</v>
      </c>
      <c r="P306" s="3">
        <v>0.08</v>
      </c>
      <c r="Q306" s="2">
        <v>128.04</v>
      </c>
      <c r="R306">
        <v>4</v>
      </c>
      <c r="S306" t="str">
        <f t="shared" si="4"/>
        <v>Junho</v>
      </c>
    </row>
    <row r="307" spans="1:19" hidden="1" x14ac:dyDescent="0.3">
      <c r="A307">
        <v>306</v>
      </c>
      <c r="B307" s="1">
        <v>43996</v>
      </c>
      <c r="C307">
        <v>11</v>
      </c>
      <c r="D307" t="s">
        <v>47</v>
      </c>
      <c r="E307" t="s">
        <v>99</v>
      </c>
      <c r="F307">
        <v>18</v>
      </c>
      <c r="G307" s="2">
        <v>111</v>
      </c>
      <c r="H307" s="2">
        <v>1998</v>
      </c>
      <c r="I307" s="1">
        <v>0.04</v>
      </c>
      <c r="J307" s="2">
        <v>1918.08</v>
      </c>
      <c r="K307" s="1">
        <v>44019</v>
      </c>
      <c r="L307" s="1">
        <v>44019</v>
      </c>
      <c r="M307">
        <v>306</v>
      </c>
      <c r="N307">
        <v>1</v>
      </c>
      <c r="O307" t="s">
        <v>27</v>
      </c>
      <c r="P307" s="3">
        <v>0.09</v>
      </c>
      <c r="Q307" s="2">
        <v>172.62719999999999</v>
      </c>
      <c r="R307">
        <v>5</v>
      </c>
      <c r="S307" t="str">
        <f t="shared" si="4"/>
        <v>Junho</v>
      </c>
    </row>
    <row r="308" spans="1:19" hidden="1" x14ac:dyDescent="0.3">
      <c r="A308">
        <v>307</v>
      </c>
      <c r="B308" s="1">
        <v>43997</v>
      </c>
      <c r="C308">
        <v>72</v>
      </c>
      <c r="D308" t="s">
        <v>31</v>
      </c>
      <c r="E308" t="s">
        <v>98</v>
      </c>
      <c r="F308">
        <v>30</v>
      </c>
      <c r="G308" s="2">
        <v>96</v>
      </c>
      <c r="H308" s="2">
        <v>2880</v>
      </c>
      <c r="I308" s="1">
        <v>0.03</v>
      </c>
      <c r="J308" s="2">
        <v>2793.6</v>
      </c>
      <c r="K308" s="1">
        <v>44022</v>
      </c>
      <c r="L308" s="1">
        <v>44022</v>
      </c>
      <c r="M308">
        <v>307</v>
      </c>
      <c r="N308">
        <v>1</v>
      </c>
      <c r="O308" t="s">
        <v>20</v>
      </c>
      <c r="P308" s="3">
        <v>0.1</v>
      </c>
      <c r="Q308" s="2">
        <v>279.36</v>
      </c>
      <c r="R308">
        <v>6</v>
      </c>
      <c r="S308" t="str">
        <f t="shared" si="4"/>
        <v>Junho</v>
      </c>
    </row>
    <row r="309" spans="1:19" hidden="1" x14ac:dyDescent="0.3">
      <c r="A309">
        <v>308</v>
      </c>
      <c r="B309" s="1">
        <v>43997</v>
      </c>
      <c r="C309">
        <v>86</v>
      </c>
      <c r="D309" t="s">
        <v>77</v>
      </c>
      <c r="E309" t="s">
        <v>99</v>
      </c>
      <c r="F309">
        <v>28</v>
      </c>
      <c r="G309" s="2">
        <v>110</v>
      </c>
      <c r="H309" s="2">
        <v>3080</v>
      </c>
      <c r="I309" s="1">
        <v>7.0000000000000007E-2</v>
      </c>
      <c r="J309" s="2">
        <v>2864.4</v>
      </c>
      <c r="K309" s="1">
        <v>44024</v>
      </c>
      <c r="L309" s="1">
        <v>44024</v>
      </c>
      <c r="M309">
        <v>308</v>
      </c>
      <c r="N309">
        <v>4</v>
      </c>
      <c r="O309" t="s">
        <v>38</v>
      </c>
      <c r="P309" s="3">
        <v>0.09</v>
      </c>
      <c r="Q309" s="2">
        <v>257.79599999999999</v>
      </c>
      <c r="R309">
        <v>7</v>
      </c>
      <c r="S309" t="str">
        <f t="shared" si="4"/>
        <v>Junho</v>
      </c>
    </row>
    <row r="310" spans="1:19" hidden="1" x14ac:dyDescent="0.3">
      <c r="A310">
        <v>309</v>
      </c>
      <c r="B310" s="1">
        <v>43998</v>
      </c>
      <c r="C310">
        <v>46</v>
      </c>
      <c r="D310" t="s">
        <v>81</v>
      </c>
      <c r="E310" t="s">
        <v>98</v>
      </c>
      <c r="F310">
        <v>26</v>
      </c>
      <c r="G310" s="2">
        <v>101</v>
      </c>
      <c r="H310" s="2">
        <v>2626</v>
      </c>
      <c r="I310" s="1">
        <v>7.0000000000000007E-2</v>
      </c>
      <c r="J310" s="2">
        <v>2442.1799999999998</v>
      </c>
      <c r="K310" s="1">
        <v>44016</v>
      </c>
      <c r="L310" s="1">
        <v>44016</v>
      </c>
      <c r="M310">
        <v>309</v>
      </c>
      <c r="N310">
        <v>2</v>
      </c>
      <c r="O310" t="s">
        <v>38</v>
      </c>
      <c r="P310" s="3">
        <v>0.1</v>
      </c>
      <c r="Q310" s="2">
        <v>244.21799999999999</v>
      </c>
      <c r="R310">
        <v>1</v>
      </c>
      <c r="S310" t="str">
        <f t="shared" si="4"/>
        <v>Junho</v>
      </c>
    </row>
    <row r="311" spans="1:19" hidden="1" x14ac:dyDescent="0.3">
      <c r="A311">
        <v>310</v>
      </c>
      <c r="B311" s="1">
        <v>43998</v>
      </c>
      <c r="C311">
        <v>52</v>
      </c>
      <c r="D311" t="s">
        <v>19</v>
      </c>
      <c r="E311" t="s">
        <v>104</v>
      </c>
      <c r="F311">
        <v>41</v>
      </c>
      <c r="G311" s="2">
        <v>98</v>
      </c>
      <c r="H311" s="2">
        <v>4018</v>
      </c>
      <c r="I311" s="1">
        <v>0.14000000000000001</v>
      </c>
      <c r="J311" s="2">
        <v>3455.48</v>
      </c>
      <c r="K311" s="1">
        <v>44021</v>
      </c>
      <c r="L311" s="1">
        <v>44021</v>
      </c>
      <c r="M311">
        <v>310</v>
      </c>
      <c r="N311">
        <v>2</v>
      </c>
      <c r="O311" t="s">
        <v>18</v>
      </c>
      <c r="P311" s="3">
        <v>0.08</v>
      </c>
      <c r="Q311" s="2">
        <v>276.4384</v>
      </c>
      <c r="R311">
        <v>2</v>
      </c>
      <c r="S311" t="str">
        <f t="shared" si="4"/>
        <v>Junho</v>
      </c>
    </row>
    <row r="312" spans="1:19" hidden="1" x14ac:dyDescent="0.3">
      <c r="A312">
        <v>311</v>
      </c>
      <c r="B312" s="1">
        <v>43999</v>
      </c>
      <c r="C312">
        <v>31</v>
      </c>
      <c r="D312" t="s">
        <v>72</v>
      </c>
      <c r="E312" t="s">
        <v>101</v>
      </c>
      <c r="F312">
        <v>32</v>
      </c>
      <c r="G312" s="2">
        <v>109</v>
      </c>
      <c r="H312" s="2">
        <v>3488</v>
      </c>
      <c r="I312" s="1">
        <v>0.08</v>
      </c>
      <c r="J312" s="2">
        <v>3208.96</v>
      </c>
      <c r="K312" s="1">
        <v>44004</v>
      </c>
      <c r="L312" s="1">
        <v>44004</v>
      </c>
      <c r="M312">
        <v>311</v>
      </c>
      <c r="N312">
        <v>4</v>
      </c>
      <c r="O312" t="s">
        <v>18</v>
      </c>
      <c r="P312" s="3">
        <v>7.0000000000000007E-2</v>
      </c>
      <c r="Q312" s="2">
        <v>224.62720000000002</v>
      </c>
      <c r="R312">
        <v>3</v>
      </c>
      <c r="S312" t="str">
        <f t="shared" si="4"/>
        <v>Junho</v>
      </c>
    </row>
    <row r="313" spans="1:19" hidden="1" x14ac:dyDescent="0.3">
      <c r="A313">
        <v>312</v>
      </c>
      <c r="B313" s="1">
        <v>43999</v>
      </c>
      <c r="C313">
        <v>57</v>
      </c>
      <c r="D313" t="s">
        <v>76</v>
      </c>
      <c r="E313" t="s">
        <v>98</v>
      </c>
      <c r="F313">
        <v>16</v>
      </c>
      <c r="G313" s="2">
        <v>103</v>
      </c>
      <c r="H313" s="2">
        <v>1648</v>
      </c>
      <c r="I313" s="1">
        <v>0.03</v>
      </c>
      <c r="J313" s="2">
        <v>1598.56</v>
      </c>
      <c r="K313" s="1">
        <v>44000</v>
      </c>
      <c r="L313" s="1">
        <v>44000</v>
      </c>
      <c r="M313">
        <v>312</v>
      </c>
      <c r="N313">
        <v>2</v>
      </c>
      <c r="O313" t="s">
        <v>18</v>
      </c>
      <c r="P313" s="3">
        <v>7.0000000000000007E-2</v>
      </c>
      <c r="Q313" s="2">
        <v>111.89920000000001</v>
      </c>
      <c r="R313">
        <v>4</v>
      </c>
      <c r="S313" t="str">
        <f t="shared" si="4"/>
        <v>Junho</v>
      </c>
    </row>
    <row r="314" spans="1:19" hidden="1" x14ac:dyDescent="0.3">
      <c r="A314">
        <v>313</v>
      </c>
      <c r="B314" s="1">
        <v>43999</v>
      </c>
      <c r="C314">
        <v>18</v>
      </c>
      <c r="D314" t="s">
        <v>70</v>
      </c>
      <c r="E314" t="s">
        <v>99</v>
      </c>
      <c r="F314">
        <v>50</v>
      </c>
      <c r="G314" s="2">
        <v>97</v>
      </c>
      <c r="H314" s="2">
        <v>4850</v>
      </c>
      <c r="I314" s="1">
        <v>0.02</v>
      </c>
      <c r="J314" s="2">
        <v>4753</v>
      </c>
      <c r="K314" s="1">
        <v>44013</v>
      </c>
      <c r="L314" s="1">
        <v>44013</v>
      </c>
      <c r="M314">
        <v>313</v>
      </c>
      <c r="N314">
        <v>7</v>
      </c>
      <c r="O314" t="s">
        <v>20</v>
      </c>
      <c r="P314" s="3">
        <v>0.08</v>
      </c>
      <c r="Q314" s="2">
        <v>380.24</v>
      </c>
      <c r="R314">
        <v>5</v>
      </c>
      <c r="S314" t="str">
        <f t="shared" si="4"/>
        <v>Junho</v>
      </c>
    </row>
    <row r="315" spans="1:19" hidden="1" x14ac:dyDescent="0.3">
      <c r="A315">
        <v>314</v>
      </c>
      <c r="B315" s="1">
        <v>43999</v>
      </c>
      <c r="C315">
        <v>18</v>
      </c>
      <c r="D315" t="s">
        <v>70</v>
      </c>
      <c r="E315" t="s">
        <v>103</v>
      </c>
      <c r="F315">
        <v>18</v>
      </c>
      <c r="G315" s="2">
        <v>100</v>
      </c>
      <c r="H315" s="2">
        <v>1800</v>
      </c>
      <c r="I315" s="1">
        <v>0.14000000000000001</v>
      </c>
      <c r="J315" s="2">
        <v>1548</v>
      </c>
      <c r="K315" s="1">
        <v>44011</v>
      </c>
      <c r="L315" s="1">
        <v>44011</v>
      </c>
      <c r="M315">
        <v>314</v>
      </c>
      <c r="N315">
        <v>2</v>
      </c>
      <c r="O315" t="s">
        <v>25</v>
      </c>
      <c r="P315" s="3">
        <v>7.0000000000000007E-2</v>
      </c>
      <c r="Q315" s="2">
        <v>108.36000000000001</v>
      </c>
      <c r="R315">
        <v>6</v>
      </c>
      <c r="S315" t="str">
        <f t="shared" si="4"/>
        <v>Junho</v>
      </c>
    </row>
    <row r="316" spans="1:19" hidden="1" x14ac:dyDescent="0.3">
      <c r="A316">
        <v>315</v>
      </c>
      <c r="B316" s="1">
        <v>44000</v>
      </c>
      <c r="C316">
        <v>6</v>
      </c>
      <c r="D316" t="s">
        <v>75</v>
      </c>
      <c r="E316" t="s">
        <v>103</v>
      </c>
      <c r="F316">
        <v>47</v>
      </c>
      <c r="G316" s="2">
        <v>108</v>
      </c>
      <c r="H316" s="2">
        <v>5076</v>
      </c>
      <c r="I316" s="1">
        <v>0.05</v>
      </c>
      <c r="J316" s="2">
        <v>4822.2</v>
      </c>
      <c r="K316" s="1">
        <v>44002</v>
      </c>
      <c r="L316" s="1">
        <v>44002</v>
      </c>
      <c r="M316">
        <v>315</v>
      </c>
      <c r="N316">
        <v>5</v>
      </c>
      <c r="O316" t="s">
        <v>38</v>
      </c>
      <c r="P316" s="3">
        <v>0.05</v>
      </c>
      <c r="Q316" s="2">
        <v>241.11</v>
      </c>
      <c r="R316">
        <v>7</v>
      </c>
      <c r="S316" t="str">
        <f t="shared" si="4"/>
        <v>Junho</v>
      </c>
    </row>
    <row r="317" spans="1:19" hidden="1" x14ac:dyDescent="0.3">
      <c r="A317">
        <v>316</v>
      </c>
      <c r="B317" s="1">
        <v>44000</v>
      </c>
      <c r="C317">
        <v>74</v>
      </c>
      <c r="D317" t="s">
        <v>31</v>
      </c>
      <c r="E317" t="s">
        <v>104</v>
      </c>
      <c r="F317">
        <v>34</v>
      </c>
      <c r="G317" s="2">
        <v>98</v>
      </c>
      <c r="H317" s="2">
        <v>3332</v>
      </c>
      <c r="I317" s="1">
        <v>0.02</v>
      </c>
      <c r="J317" s="2">
        <v>3265.36</v>
      </c>
      <c r="K317" s="1">
        <v>44021</v>
      </c>
      <c r="L317" s="1">
        <v>44021</v>
      </c>
      <c r="M317">
        <v>316</v>
      </c>
      <c r="N317">
        <v>2</v>
      </c>
      <c r="O317" t="s">
        <v>42</v>
      </c>
      <c r="P317" s="3">
        <v>0.1</v>
      </c>
      <c r="Q317" s="2">
        <v>326.53600000000006</v>
      </c>
      <c r="R317">
        <v>1</v>
      </c>
      <c r="S317" t="str">
        <f t="shared" si="4"/>
        <v>Junho</v>
      </c>
    </row>
    <row r="318" spans="1:19" x14ac:dyDescent="0.3">
      <c r="A318">
        <v>317</v>
      </c>
      <c r="B318" s="1">
        <v>44000</v>
      </c>
      <c r="C318">
        <v>32</v>
      </c>
      <c r="D318" t="s">
        <v>64</v>
      </c>
      <c r="E318" t="s">
        <v>98</v>
      </c>
      <c r="F318">
        <v>26</v>
      </c>
      <c r="G318" s="2">
        <v>112</v>
      </c>
      <c r="H318" s="2">
        <v>2912</v>
      </c>
      <c r="I318" s="1">
        <v>0.12</v>
      </c>
      <c r="J318" s="2">
        <v>2562.56</v>
      </c>
      <c r="K318" s="1">
        <v>44007</v>
      </c>
      <c r="L318" s="1">
        <v>44007</v>
      </c>
      <c r="M318">
        <v>317</v>
      </c>
      <c r="N318">
        <v>4</v>
      </c>
      <c r="O318" t="s">
        <v>35</v>
      </c>
      <c r="P318" s="3">
        <v>0.09</v>
      </c>
      <c r="Q318" s="2">
        <v>230.63039999999998</v>
      </c>
      <c r="R318">
        <v>2</v>
      </c>
      <c r="S318" t="str">
        <f t="shared" si="4"/>
        <v>Junho</v>
      </c>
    </row>
    <row r="319" spans="1:19" x14ac:dyDescent="0.3">
      <c r="A319">
        <v>318</v>
      </c>
      <c r="B319" s="1">
        <v>44001</v>
      </c>
      <c r="C319">
        <v>84</v>
      </c>
      <c r="D319" t="s">
        <v>36</v>
      </c>
      <c r="E319" t="s">
        <v>104</v>
      </c>
      <c r="F319">
        <v>46</v>
      </c>
      <c r="G319" s="2">
        <v>107</v>
      </c>
      <c r="H319" s="2">
        <v>4922</v>
      </c>
      <c r="I319" s="1">
        <v>0.02</v>
      </c>
      <c r="J319" s="2">
        <v>4823.5600000000004</v>
      </c>
      <c r="K319" s="1">
        <v>44023</v>
      </c>
      <c r="L319" s="1">
        <v>44023</v>
      </c>
      <c r="M319">
        <v>318</v>
      </c>
      <c r="N319">
        <v>3</v>
      </c>
      <c r="O319" t="s">
        <v>35</v>
      </c>
      <c r="P319" s="3">
        <v>0.05</v>
      </c>
      <c r="Q319" s="2">
        <v>241.17800000000003</v>
      </c>
      <c r="R319">
        <v>3</v>
      </c>
      <c r="S319" t="str">
        <f t="shared" si="4"/>
        <v>Junho</v>
      </c>
    </row>
    <row r="320" spans="1:19" hidden="1" x14ac:dyDescent="0.3">
      <c r="A320">
        <v>319</v>
      </c>
      <c r="B320" s="1">
        <v>44001</v>
      </c>
      <c r="C320">
        <v>41</v>
      </c>
      <c r="D320" t="s">
        <v>55</v>
      </c>
      <c r="E320" t="s">
        <v>103</v>
      </c>
      <c r="F320">
        <v>25</v>
      </c>
      <c r="G320" s="2">
        <v>94</v>
      </c>
      <c r="H320" s="2">
        <v>2350</v>
      </c>
      <c r="I320" s="1">
        <v>0.15</v>
      </c>
      <c r="J320" s="2">
        <v>1997.5</v>
      </c>
      <c r="K320" s="1">
        <v>44024</v>
      </c>
      <c r="L320" s="1">
        <v>44024</v>
      </c>
      <c r="M320">
        <v>319</v>
      </c>
      <c r="N320">
        <v>4</v>
      </c>
      <c r="O320" t="s">
        <v>30</v>
      </c>
      <c r="P320" s="3">
        <v>0.05</v>
      </c>
      <c r="Q320" s="2">
        <v>99.875</v>
      </c>
      <c r="R320">
        <v>4</v>
      </c>
      <c r="S320" t="str">
        <f t="shared" si="4"/>
        <v>Junho</v>
      </c>
    </row>
    <row r="321" spans="1:19" hidden="1" x14ac:dyDescent="0.3">
      <c r="A321">
        <v>320</v>
      </c>
      <c r="B321" s="1">
        <v>44001</v>
      </c>
      <c r="C321">
        <v>7</v>
      </c>
      <c r="D321" t="s">
        <v>89</v>
      </c>
      <c r="E321" t="s">
        <v>102</v>
      </c>
      <c r="F321">
        <v>34</v>
      </c>
      <c r="G321" s="2">
        <v>114</v>
      </c>
      <c r="H321" s="2">
        <v>3876</v>
      </c>
      <c r="I321" s="1">
        <v>0.06</v>
      </c>
      <c r="J321" s="2">
        <v>3643.44</v>
      </c>
      <c r="K321" s="1">
        <v>44011</v>
      </c>
      <c r="L321" s="1">
        <v>44011</v>
      </c>
      <c r="M321">
        <v>320</v>
      </c>
      <c r="N321">
        <v>5</v>
      </c>
      <c r="O321" t="s">
        <v>23</v>
      </c>
      <c r="P321" s="3">
        <v>0.08</v>
      </c>
      <c r="Q321" s="2">
        <v>291.47520000000003</v>
      </c>
      <c r="R321">
        <v>5</v>
      </c>
      <c r="S321" t="str">
        <f t="shared" si="4"/>
        <v>Junho</v>
      </c>
    </row>
    <row r="322" spans="1:19" hidden="1" x14ac:dyDescent="0.3">
      <c r="A322">
        <v>321</v>
      </c>
      <c r="B322" s="1">
        <v>44001</v>
      </c>
      <c r="C322">
        <v>16</v>
      </c>
      <c r="D322" t="s">
        <v>22</v>
      </c>
      <c r="E322" t="s">
        <v>98</v>
      </c>
      <c r="F322">
        <v>22</v>
      </c>
      <c r="G322" s="2">
        <v>115</v>
      </c>
      <c r="H322" s="2">
        <v>2530</v>
      </c>
      <c r="I322" s="1">
        <v>0.15</v>
      </c>
      <c r="J322" s="2">
        <v>2150.5</v>
      </c>
      <c r="K322" s="1">
        <v>44020</v>
      </c>
      <c r="L322" s="1">
        <v>44020</v>
      </c>
      <c r="M322">
        <v>321</v>
      </c>
      <c r="N322">
        <v>2</v>
      </c>
      <c r="O322" t="s">
        <v>38</v>
      </c>
      <c r="P322" s="3">
        <v>0.05</v>
      </c>
      <c r="Q322" s="2">
        <v>107.52500000000001</v>
      </c>
      <c r="R322">
        <v>6</v>
      </c>
      <c r="S322" t="str">
        <f t="shared" si="4"/>
        <v>Junho</v>
      </c>
    </row>
    <row r="323" spans="1:19" hidden="1" x14ac:dyDescent="0.3">
      <c r="A323">
        <v>322</v>
      </c>
      <c r="B323" s="1">
        <v>44002</v>
      </c>
      <c r="C323">
        <v>31</v>
      </c>
      <c r="D323" t="s">
        <v>72</v>
      </c>
      <c r="E323" t="s">
        <v>102</v>
      </c>
      <c r="F323">
        <v>22</v>
      </c>
      <c r="G323" s="2">
        <v>92</v>
      </c>
      <c r="H323" s="2">
        <v>2024</v>
      </c>
      <c r="I323" s="1">
        <v>0.14000000000000001</v>
      </c>
      <c r="J323" s="2">
        <v>1740.6399999999999</v>
      </c>
      <c r="K323" s="1">
        <v>44008</v>
      </c>
      <c r="L323" s="1">
        <v>44008</v>
      </c>
      <c r="M323">
        <v>322</v>
      </c>
      <c r="N323">
        <v>1</v>
      </c>
      <c r="O323" t="s">
        <v>30</v>
      </c>
      <c r="P323" s="3">
        <v>7.0000000000000007E-2</v>
      </c>
      <c r="Q323" s="2">
        <v>121.84480000000001</v>
      </c>
      <c r="R323">
        <v>7</v>
      </c>
      <c r="S323" t="str">
        <f t="shared" ref="S323:S386" si="5">PROPER(TEXT(B323,"mmmm"))</f>
        <v>Junho</v>
      </c>
    </row>
    <row r="324" spans="1:19" hidden="1" x14ac:dyDescent="0.3">
      <c r="A324">
        <v>323</v>
      </c>
      <c r="B324" s="1">
        <v>44002</v>
      </c>
      <c r="C324">
        <v>32</v>
      </c>
      <c r="D324" t="s">
        <v>64</v>
      </c>
      <c r="E324" t="s">
        <v>98</v>
      </c>
      <c r="F324">
        <v>14</v>
      </c>
      <c r="G324" s="2">
        <v>94</v>
      </c>
      <c r="H324" s="2">
        <v>1316</v>
      </c>
      <c r="I324" s="1">
        <v>0.11</v>
      </c>
      <c r="J324" s="2">
        <v>1171.24</v>
      </c>
      <c r="K324" s="1">
        <v>44003</v>
      </c>
      <c r="L324" s="1">
        <v>44003</v>
      </c>
      <c r="M324">
        <v>323</v>
      </c>
      <c r="N324">
        <v>7</v>
      </c>
      <c r="O324" t="s">
        <v>56</v>
      </c>
      <c r="P324" s="3">
        <v>0.08</v>
      </c>
      <c r="Q324" s="2">
        <v>93.699200000000005</v>
      </c>
      <c r="R324">
        <v>1</v>
      </c>
      <c r="S324" t="str">
        <f t="shared" si="5"/>
        <v>Junho</v>
      </c>
    </row>
    <row r="325" spans="1:19" hidden="1" x14ac:dyDescent="0.3">
      <c r="A325">
        <v>324</v>
      </c>
      <c r="B325" s="1">
        <v>44003</v>
      </c>
      <c r="C325">
        <v>98</v>
      </c>
      <c r="D325" t="s">
        <v>21</v>
      </c>
      <c r="E325" t="s">
        <v>99</v>
      </c>
      <c r="F325">
        <v>34</v>
      </c>
      <c r="G325" s="2">
        <v>108</v>
      </c>
      <c r="H325" s="2">
        <v>3672</v>
      </c>
      <c r="I325" s="1">
        <v>0.12</v>
      </c>
      <c r="J325" s="2">
        <v>3231.36</v>
      </c>
      <c r="K325" s="1">
        <v>44008</v>
      </c>
      <c r="L325" s="1">
        <v>44008</v>
      </c>
      <c r="M325">
        <v>324</v>
      </c>
      <c r="N325">
        <v>6</v>
      </c>
      <c r="O325" t="s">
        <v>25</v>
      </c>
      <c r="P325" s="3">
        <v>0.1</v>
      </c>
      <c r="Q325" s="2">
        <v>323.13600000000002</v>
      </c>
      <c r="R325">
        <v>2</v>
      </c>
      <c r="S325" t="str">
        <f t="shared" si="5"/>
        <v>Junho</v>
      </c>
    </row>
    <row r="326" spans="1:19" hidden="1" x14ac:dyDescent="0.3">
      <c r="A326">
        <v>325</v>
      </c>
      <c r="B326" s="1">
        <v>44004</v>
      </c>
      <c r="C326">
        <v>60</v>
      </c>
      <c r="D326" t="s">
        <v>69</v>
      </c>
      <c r="E326" t="s">
        <v>100</v>
      </c>
      <c r="F326">
        <v>21</v>
      </c>
      <c r="G326" s="2">
        <v>110</v>
      </c>
      <c r="H326" s="2">
        <v>2310</v>
      </c>
      <c r="I326" s="1">
        <v>0.02</v>
      </c>
      <c r="J326" s="2">
        <v>2263.8000000000002</v>
      </c>
      <c r="K326" s="1">
        <v>44008</v>
      </c>
      <c r="L326" s="1">
        <v>44008</v>
      </c>
      <c r="M326">
        <v>325</v>
      </c>
      <c r="N326">
        <v>5</v>
      </c>
      <c r="O326" t="s">
        <v>38</v>
      </c>
      <c r="P326" s="3">
        <v>0.1</v>
      </c>
      <c r="Q326" s="2">
        <v>226.38000000000002</v>
      </c>
      <c r="R326">
        <v>3</v>
      </c>
      <c r="S326" t="str">
        <f t="shared" si="5"/>
        <v>Junho</v>
      </c>
    </row>
    <row r="327" spans="1:19" hidden="1" x14ac:dyDescent="0.3">
      <c r="A327">
        <v>326</v>
      </c>
      <c r="B327" s="1">
        <v>44004</v>
      </c>
      <c r="C327">
        <v>43</v>
      </c>
      <c r="D327" t="s">
        <v>86</v>
      </c>
      <c r="E327" t="s">
        <v>95</v>
      </c>
      <c r="F327">
        <v>43</v>
      </c>
      <c r="G327" s="2">
        <v>109</v>
      </c>
      <c r="H327" s="2">
        <v>4687</v>
      </c>
      <c r="I327" s="1">
        <v>0.06</v>
      </c>
      <c r="J327" s="2">
        <v>4405.78</v>
      </c>
      <c r="K327" s="1">
        <v>44008</v>
      </c>
      <c r="L327" s="1">
        <v>44008</v>
      </c>
      <c r="M327">
        <v>326</v>
      </c>
      <c r="N327">
        <v>6</v>
      </c>
      <c r="O327" t="s">
        <v>27</v>
      </c>
      <c r="P327" s="3">
        <v>0.08</v>
      </c>
      <c r="Q327" s="2">
        <v>352.4624</v>
      </c>
      <c r="R327">
        <v>4</v>
      </c>
      <c r="S327" t="str">
        <f t="shared" si="5"/>
        <v>Junho</v>
      </c>
    </row>
    <row r="328" spans="1:19" hidden="1" x14ac:dyDescent="0.3">
      <c r="A328">
        <v>327</v>
      </c>
      <c r="B328" s="1">
        <v>44004</v>
      </c>
      <c r="C328">
        <v>3</v>
      </c>
      <c r="D328" t="s">
        <v>78</v>
      </c>
      <c r="E328" t="s">
        <v>96</v>
      </c>
      <c r="F328">
        <v>47</v>
      </c>
      <c r="G328" s="2">
        <v>92</v>
      </c>
      <c r="H328" s="2">
        <v>4324</v>
      </c>
      <c r="I328" s="1">
        <v>0.09</v>
      </c>
      <c r="J328" s="2">
        <v>3934.84</v>
      </c>
      <c r="K328" s="1">
        <v>44018</v>
      </c>
      <c r="L328" s="1">
        <v>44018</v>
      </c>
      <c r="M328">
        <v>327</v>
      </c>
      <c r="N328">
        <v>6</v>
      </c>
      <c r="O328" t="s">
        <v>18</v>
      </c>
      <c r="P328" s="3">
        <v>0.06</v>
      </c>
      <c r="Q328" s="2">
        <v>236.09039999999999</v>
      </c>
      <c r="R328">
        <v>5</v>
      </c>
      <c r="S328" t="str">
        <f t="shared" si="5"/>
        <v>Junho</v>
      </c>
    </row>
    <row r="329" spans="1:19" hidden="1" x14ac:dyDescent="0.3">
      <c r="A329">
        <v>328</v>
      </c>
      <c r="B329" s="1">
        <v>44005</v>
      </c>
      <c r="C329">
        <v>77</v>
      </c>
      <c r="D329" t="s">
        <v>52</v>
      </c>
      <c r="E329" t="s">
        <v>99</v>
      </c>
      <c r="F329">
        <v>48</v>
      </c>
      <c r="G329" s="2">
        <v>99</v>
      </c>
      <c r="H329" s="2">
        <v>4752</v>
      </c>
      <c r="I329" s="1">
        <v>0.12</v>
      </c>
      <c r="J329" s="2">
        <v>4181.76</v>
      </c>
      <c r="K329" s="1">
        <v>44032</v>
      </c>
      <c r="L329" s="1">
        <v>44032</v>
      </c>
      <c r="M329">
        <v>328</v>
      </c>
      <c r="N329">
        <v>6</v>
      </c>
      <c r="O329" t="s">
        <v>30</v>
      </c>
      <c r="P329" s="3">
        <v>0.09</v>
      </c>
      <c r="Q329" s="2">
        <v>376.35840000000002</v>
      </c>
      <c r="R329">
        <v>6</v>
      </c>
      <c r="S329" t="str">
        <f t="shared" si="5"/>
        <v>Junho</v>
      </c>
    </row>
    <row r="330" spans="1:19" hidden="1" x14ac:dyDescent="0.3">
      <c r="A330">
        <v>329</v>
      </c>
      <c r="B330" s="1">
        <v>44005</v>
      </c>
      <c r="C330">
        <v>30</v>
      </c>
      <c r="D330" t="s">
        <v>83</v>
      </c>
      <c r="E330" t="s">
        <v>99</v>
      </c>
      <c r="F330">
        <v>42</v>
      </c>
      <c r="G330" s="2">
        <v>116</v>
      </c>
      <c r="H330" s="2">
        <v>4872</v>
      </c>
      <c r="I330" s="1">
        <v>0.15</v>
      </c>
      <c r="J330" s="2">
        <v>4141.2</v>
      </c>
      <c r="K330" s="1">
        <v>44023</v>
      </c>
      <c r="L330" s="1">
        <v>44023</v>
      </c>
      <c r="M330">
        <v>329</v>
      </c>
      <c r="N330">
        <v>5</v>
      </c>
      <c r="O330" t="s">
        <v>27</v>
      </c>
      <c r="P330" s="3">
        <v>0.1</v>
      </c>
      <c r="Q330" s="2">
        <v>414.12</v>
      </c>
      <c r="R330">
        <v>7</v>
      </c>
      <c r="S330" t="str">
        <f t="shared" si="5"/>
        <v>Junho</v>
      </c>
    </row>
    <row r="331" spans="1:19" hidden="1" x14ac:dyDescent="0.3">
      <c r="A331">
        <v>330</v>
      </c>
      <c r="B331" s="1">
        <v>44006</v>
      </c>
      <c r="C331">
        <v>2</v>
      </c>
      <c r="D331" t="s">
        <v>28</v>
      </c>
      <c r="E331" t="s">
        <v>98</v>
      </c>
      <c r="F331">
        <v>20</v>
      </c>
      <c r="G331" s="2">
        <v>91</v>
      </c>
      <c r="H331" s="2">
        <v>1820</v>
      </c>
      <c r="I331" s="1">
        <v>0.14000000000000001</v>
      </c>
      <c r="J331" s="2">
        <v>1565.2</v>
      </c>
      <c r="K331" s="1">
        <v>44008</v>
      </c>
      <c r="L331" s="1">
        <v>44008</v>
      </c>
      <c r="M331">
        <v>330</v>
      </c>
      <c r="N331">
        <v>3</v>
      </c>
      <c r="O331" t="s">
        <v>23</v>
      </c>
      <c r="P331" s="3">
        <v>0.08</v>
      </c>
      <c r="Q331" s="2">
        <v>125.21600000000001</v>
      </c>
      <c r="R331">
        <v>1</v>
      </c>
      <c r="S331" t="str">
        <f t="shared" si="5"/>
        <v>Junho</v>
      </c>
    </row>
    <row r="332" spans="1:19" hidden="1" x14ac:dyDescent="0.3">
      <c r="A332">
        <v>331</v>
      </c>
      <c r="B332" s="1">
        <v>44006</v>
      </c>
      <c r="C332">
        <v>28</v>
      </c>
      <c r="D332" t="s">
        <v>73</v>
      </c>
      <c r="E332" t="s">
        <v>96</v>
      </c>
      <c r="F332">
        <v>10</v>
      </c>
      <c r="G332" s="2">
        <v>91</v>
      </c>
      <c r="H332" s="2">
        <v>910</v>
      </c>
      <c r="I332" s="1">
        <v>7.0000000000000007E-2</v>
      </c>
      <c r="J332" s="2">
        <v>846.3</v>
      </c>
      <c r="K332" s="1">
        <v>44024</v>
      </c>
      <c r="L332" s="1">
        <v>44024</v>
      </c>
      <c r="M332">
        <v>331</v>
      </c>
      <c r="N332">
        <v>1</v>
      </c>
      <c r="O332" t="s">
        <v>30</v>
      </c>
      <c r="P332" s="3">
        <v>7.0000000000000007E-2</v>
      </c>
      <c r="Q332" s="2">
        <v>59.241</v>
      </c>
      <c r="R332">
        <v>2</v>
      </c>
      <c r="S332" t="str">
        <f t="shared" si="5"/>
        <v>Junho</v>
      </c>
    </row>
    <row r="333" spans="1:19" hidden="1" x14ac:dyDescent="0.3">
      <c r="A333">
        <v>332</v>
      </c>
      <c r="B333" s="1">
        <v>44006</v>
      </c>
      <c r="C333">
        <v>69</v>
      </c>
      <c r="D333" t="s">
        <v>54</v>
      </c>
      <c r="E333" t="s">
        <v>100</v>
      </c>
      <c r="F333">
        <v>13</v>
      </c>
      <c r="G333" s="2">
        <v>107</v>
      </c>
      <c r="H333" s="2">
        <v>1391</v>
      </c>
      <c r="I333" s="1">
        <v>0.04</v>
      </c>
      <c r="J333" s="2">
        <v>1335.36</v>
      </c>
      <c r="K333" s="1">
        <v>44027</v>
      </c>
      <c r="L333" s="1">
        <v>44027</v>
      </c>
      <c r="M333">
        <v>332</v>
      </c>
      <c r="N333">
        <v>1</v>
      </c>
      <c r="O333" t="s">
        <v>42</v>
      </c>
      <c r="P333" s="3">
        <v>0.05</v>
      </c>
      <c r="Q333" s="2">
        <v>66.768000000000001</v>
      </c>
      <c r="R333">
        <v>3</v>
      </c>
      <c r="S333" t="str">
        <f t="shared" si="5"/>
        <v>Junho</v>
      </c>
    </row>
    <row r="334" spans="1:19" hidden="1" x14ac:dyDescent="0.3">
      <c r="A334">
        <v>333</v>
      </c>
      <c r="B334" s="1">
        <v>44006</v>
      </c>
      <c r="C334">
        <v>20</v>
      </c>
      <c r="D334" t="s">
        <v>32</v>
      </c>
      <c r="E334" t="s">
        <v>103</v>
      </c>
      <c r="F334">
        <v>32</v>
      </c>
      <c r="G334" s="2">
        <v>98</v>
      </c>
      <c r="H334" s="2">
        <v>3136</v>
      </c>
      <c r="I334" s="1">
        <v>0</v>
      </c>
      <c r="J334" s="2">
        <v>3136</v>
      </c>
      <c r="K334" s="1">
        <v>44011</v>
      </c>
      <c r="L334" s="1">
        <v>44011</v>
      </c>
      <c r="M334">
        <v>333</v>
      </c>
      <c r="N334">
        <v>6</v>
      </c>
      <c r="O334" t="s">
        <v>42</v>
      </c>
      <c r="P334" s="3">
        <v>0.08</v>
      </c>
      <c r="Q334" s="2">
        <v>250.88</v>
      </c>
      <c r="R334">
        <v>4</v>
      </c>
      <c r="S334" t="str">
        <f t="shared" si="5"/>
        <v>Junho</v>
      </c>
    </row>
    <row r="335" spans="1:19" hidden="1" x14ac:dyDescent="0.3">
      <c r="A335">
        <v>334</v>
      </c>
      <c r="B335" s="1">
        <v>44006</v>
      </c>
      <c r="C335">
        <v>13</v>
      </c>
      <c r="D335" t="s">
        <v>62</v>
      </c>
      <c r="E335" t="s">
        <v>102</v>
      </c>
      <c r="F335">
        <v>16</v>
      </c>
      <c r="G335" s="2">
        <v>98</v>
      </c>
      <c r="H335" s="2">
        <v>1568</v>
      </c>
      <c r="I335" s="1">
        <v>0.02</v>
      </c>
      <c r="J335" s="2">
        <v>1536.64</v>
      </c>
      <c r="K335" s="1">
        <v>44030</v>
      </c>
      <c r="L335" s="1">
        <v>44030</v>
      </c>
      <c r="M335">
        <v>334</v>
      </c>
      <c r="N335">
        <v>6</v>
      </c>
      <c r="O335" t="s">
        <v>18</v>
      </c>
      <c r="P335" s="3">
        <v>7.0000000000000007E-2</v>
      </c>
      <c r="Q335" s="2">
        <v>107.56480000000002</v>
      </c>
      <c r="R335">
        <v>5</v>
      </c>
      <c r="S335" t="str">
        <f t="shared" si="5"/>
        <v>Junho</v>
      </c>
    </row>
    <row r="336" spans="1:19" hidden="1" x14ac:dyDescent="0.3">
      <c r="A336">
        <v>335</v>
      </c>
      <c r="B336" s="1">
        <v>44008</v>
      </c>
      <c r="C336">
        <v>22</v>
      </c>
      <c r="D336" t="s">
        <v>41</v>
      </c>
      <c r="E336" t="s">
        <v>99</v>
      </c>
      <c r="F336">
        <v>45</v>
      </c>
      <c r="G336" s="2">
        <v>94</v>
      </c>
      <c r="H336" s="2">
        <v>4230</v>
      </c>
      <c r="I336" s="1">
        <v>0.15</v>
      </c>
      <c r="J336" s="2">
        <v>3595.5</v>
      </c>
      <c r="K336" s="1">
        <v>44034</v>
      </c>
      <c r="L336" s="1">
        <v>44034</v>
      </c>
      <c r="M336">
        <v>335</v>
      </c>
      <c r="N336">
        <v>3</v>
      </c>
      <c r="O336" t="s">
        <v>25</v>
      </c>
      <c r="P336" s="3">
        <v>7.0000000000000007E-2</v>
      </c>
      <c r="Q336" s="2">
        <v>251.68500000000003</v>
      </c>
      <c r="R336">
        <v>6</v>
      </c>
      <c r="S336" t="str">
        <f t="shared" si="5"/>
        <v>Junho</v>
      </c>
    </row>
    <row r="337" spans="1:19" hidden="1" x14ac:dyDescent="0.3">
      <c r="A337">
        <v>336</v>
      </c>
      <c r="B337" s="1">
        <v>44008</v>
      </c>
      <c r="C337">
        <v>53</v>
      </c>
      <c r="D337" t="s">
        <v>75</v>
      </c>
      <c r="E337" t="s">
        <v>96</v>
      </c>
      <c r="F337">
        <v>42</v>
      </c>
      <c r="G337" s="2">
        <v>98</v>
      </c>
      <c r="H337" s="2">
        <v>4116</v>
      </c>
      <c r="I337" s="1">
        <v>0.14000000000000001</v>
      </c>
      <c r="J337" s="2">
        <v>3539.76</v>
      </c>
      <c r="K337" s="1">
        <v>44036</v>
      </c>
      <c r="L337" s="1">
        <v>44036</v>
      </c>
      <c r="M337">
        <v>336</v>
      </c>
      <c r="N337">
        <v>6</v>
      </c>
      <c r="O337" t="s">
        <v>25</v>
      </c>
      <c r="P337" s="3">
        <v>0.09</v>
      </c>
      <c r="Q337" s="2">
        <v>318.57839999999999</v>
      </c>
      <c r="R337">
        <v>7</v>
      </c>
      <c r="S337" t="str">
        <f t="shared" si="5"/>
        <v>Junho</v>
      </c>
    </row>
    <row r="338" spans="1:19" hidden="1" x14ac:dyDescent="0.3">
      <c r="A338">
        <v>337</v>
      </c>
      <c r="B338" s="1">
        <v>44009</v>
      </c>
      <c r="C338">
        <v>47</v>
      </c>
      <c r="D338" t="s">
        <v>33</v>
      </c>
      <c r="E338" t="s">
        <v>103</v>
      </c>
      <c r="F338">
        <v>26</v>
      </c>
      <c r="G338" s="2">
        <v>117</v>
      </c>
      <c r="H338" s="2">
        <v>3042</v>
      </c>
      <c r="I338" s="1">
        <v>0.1</v>
      </c>
      <c r="J338" s="2">
        <v>2737.8</v>
      </c>
      <c r="K338" s="1">
        <v>44032</v>
      </c>
      <c r="L338" s="1">
        <v>44032</v>
      </c>
      <c r="M338">
        <v>337</v>
      </c>
      <c r="N338">
        <v>5</v>
      </c>
      <c r="O338" t="s">
        <v>38</v>
      </c>
      <c r="P338" s="3">
        <v>7.0000000000000007E-2</v>
      </c>
      <c r="Q338" s="2">
        <v>191.64600000000004</v>
      </c>
      <c r="R338">
        <v>1</v>
      </c>
      <c r="S338" t="str">
        <f t="shared" si="5"/>
        <v>Junho</v>
      </c>
    </row>
    <row r="339" spans="1:19" x14ac:dyDescent="0.3">
      <c r="A339">
        <v>338</v>
      </c>
      <c r="B339" s="1">
        <v>44009</v>
      </c>
      <c r="C339">
        <v>2</v>
      </c>
      <c r="D339" t="s">
        <v>28</v>
      </c>
      <c r="E339" t="s">
        <v>95</v>
      </c>
      <c r="F339">
        <v>43</v>
      </c>
      <c r="G339" s="2">
        <v>101</v>
      </c>
      <c r="H339" s="2">
        <v>4343</v>
      </c>
      <c r="I339" s="1">
        <v>0.12</v>
      </c>
      <c r="J339" s="2">
        <v>3821.84</v>
      </c>
      <c r="K339" s="1">
        <v>44027</v>
      </c>
      <c r="L339" s="1">
        <v>44027</v>
      </c>
      <c r="M339">
        <v>338</v>
      </c>
      <c r="N339">
        <v>2</v>
      </c>
      <c r="O339" t="s">
        <v>35</v>
      </c>
      <c r="P339" s="3">
        <v>0.08</v>
      </c>
      <c r="Q339" s="2">
        <v>305.74720000000002</v>
      </c>
      <c r="R339">
        <v>2</v>
      </c>
      <c r="S339" t="str">
        <f t="shared" si="5"/>
        <v>Junho</v>
      </c>
    </row>
    <row r="340" spans="1:19" hidden="1" x14ac:dyDescent="0.3">
      <c r="A340">
        <v>339</v>
      </c>
      <c r="B340" s="1">
        <v>44009</v>
      </c>
      <c r="C340">
        <v>80</v>
      </c>
      <c r="D340" t="s">
        <v>31</v>
      </c>
      <c r="E340" t="s">
        <v>104</v>
      </c>
      <c r="F340">
        <v>37</v>
      </c>
      <c r="G340" s="2">
        <v>92</v>
      </c>
      <c r="H340" s="2">
        <v>3404</v>
      </c>
      <c r="I340" s="1">
        <v>0.09</v>
      </c>
      <c r="J340" s="2">
        <v>3097.64</v>
      </c>
      <c r="K340" s="1">
        <v>44018</v>
      </c>
      <c r="L340" s="1">
        <v>44018</v>
      </c>
      <c r="M340">
        <v>339</v>
      </c>
      <c r="N340">
        <v>2</v>
      </c>
      <c r="O340" t="s">
        <v>30</v>
      </c>
      <c r="P340" s="3">
        <v>0.06</v>
      </c>
      <c r="Q340" s="2">
        <v>185.85839999999999</v>
      </c>
      <c r="R340">
        <v>3</v>
      </c>
      <c r="S340" t="str">
        <f t="shared" si="5"/>
        <v>Junho</v>
      </c>
    </row>
    <row r="341" spans="1:19" hidden="1" x14ac:dyDescent="0.3">
      <c r="A341">
        <v>340</v>
      </c>
      <c r="B341" s="1">
        <v>44010</v>
      </c>
      <c r="C341">
        <v>77</v>
      </c>
      <c r="D341" t="s">
        <v>52</v>
      </c>
      <c r="E341" t="s">
        <v>96</v>
      </c>
      <c r="F341">
        <v>43</v>
      </c>
      <c r="G341" s="2">
        <v>110</v>
      </c>
      <c r="H341" s="2">
        <v>4730</v>
      </c>
      <c r="I341" s="1">
        <v>0.06</v>
      </c>
      <c r="J341" s="2">
        <v>4446.2</v>
      </c>
      <c r="K341" s="1">
        <v>44037</v>
      </c>
      <c r="L341" s="1">
        <v>44037</v>
      </c>
      <c r="M341">
        <v>340</v>
      </c>
      <c r="N341">
        <v>4</v>
      </c>
      <c r="O341" t="s">
        <v>23</v>
      </c>
      <c r="P341" s="3">
        <v>0.05</v>
      </c>
      <c r="Q341" s="2">
        <v>222.31</v>
      </c>
      <c r="R341">
        <v>4</v>
      </c>
      <c r="S341" t="str">
        <f t="shared" si="5"/>
        <v>Junho</v>
      </c>
    </row>
    <row r="342" spans="1:19" x14ac:dyDescent="0.3">
      <c r="A342">
        <v>341</v>
      </c>
      <c r="B342" s="1">
        <v>44010</v>
      </c>
      <c r="C342">
        <v>13</v>
      </c>
      <c r="D342" t="s">
        <v>62</v>
      </c>
      <c r="E342" t="s">
        <v>95</v>
      </c>
      <c r="F342">
        <v>37</v>
      </c>
      <c r="G342" s="2">
        <v>92</v>
      </c>
      <c r="H342" s="2">
        <v>3404</v>
      </c>
      <c r="I342" s="1">
        <v>0.12</v>
      </c>
      <c r="J342" s="2">
        <v>2995.52</v>
      </c>
      <c r="K342" s="1">
        <v>44028</v>
      </c>
      <c r="L342" s="1">
        <v>44028</v>
      </c>
      <c r="M342">
        <v>341</v>
      </c>
      <c r="N342">
        <v>1</v>
      </c>
      <c r="O342" t="s">
        <v>35</v>
      </c>
      <c r="P342" s="3">
        <v>0.1</v>
      </c>
      <c r="Q342" s="2">
        <v>299.55200000000002</v>
      </c>
      <c r="R342">
        <v>5</v>
      </c>
      <c r="S342" t="str">
        <f t="shared" si="5"/>
        <v>Junho</v>
      </c>
    </row>
    <row r="343" spans="1:19" hidden="1" x14ac:dyDescent="0.3">
      <c r="A343">
        <v>342</v>
      </c>
      <c r="B343" s="1">
        <v>44011</v>
      </c>
      <c r="C343">
        <v>16</v>
      </c>
      <c r="D343" t="s">
        <v>22</v>
      </c>
      <c r="E343" t="s">
        <v>97</v>
      </c>
      <c r="F343">
        <v>27</v>
      </c>
      <c r="G343" s="2">
        <v>104</v>
      </c>
      <c r="H343" s="2">
        <v>2808</v>
      </c>
      <c r="I343" s="1">
        <v>7.0000000000000007E-2</v>
      </c>
      <c r="J343" s="2">
        <v>2611.44</v>
      </c>
      <c r="K343" s="1">
        <v>44016</v>
      </c>
      <c r="L343" s="1">
        <v>44016</v>
      </c>
      <c r="M343">
        <v>342</v>
      </c>
      <c r="N343">
        <v>2</v>
      </c>
      <c r="O343" t="s">
        <v>20</v>
      </c>
      <c r="P343" s="3">
        <v>7.0000000000000007E-2</v>
      </c>
      <c r="Q343" s="2">
        <v>182.80080000000001</v>
      </c>
      <c r="R343">
        <v>6</v>
      </c>
      <c r="S343" t="str">
        <f t="shared" si="5"/>
        <v>Junho</v>
      </c>
    </row>
    <row r="344" spans="1:19" hidden="1" x14ac:dyDescent="0.3">
      <c r="A344">
        <v>343</v>
      </c>
      <c r="B344" s="1">
        <v>44012</v>
      </c>
      <c r="C344">
        <v>68</v>
      </c>
      <c r="D344" t="s">
        <v>40</v>
      </c>
      <c r="E344" t="s">
        <v>95</v>
      </c>
      <c r="F344">
        <v>18</v>
      </c>
      <c r="G344" s="2">
        <v>90</v>
      </c>
      <c r="H344" s="2">
        <v>1620</v>
      </c>
      <c r="I344" s="1">
        <v>0.06</v>
      </c>
      <c r="J344" s="2">
        <v>1522.8</v>
      </c>
      <c r="K344" s="1">
        <v>44036</v>
      </c>
      <c r="L344" s="1">
        <v>44036</v>
      </c>
      <c r="M344">
        <v>343</v>
      </c>
      <c r="N344">
        <v>4</v>
      </c>
      <c r="O344" t="s">
        <v>56</v>
      </c>
      <c r="P344" s="3">
        <v>0.09</v>
      </c>
      <c r="Q344" s="2">
        <v>137.05199999999999</v>
      </c>
      <c r="R344">
        <v>7</v>
      </c>
      <c r="S344" t="str">
        <f t="shared" si="5"/>
        <v>Junho</v>
      </c>
    </row>
    <row r="345" spans="1:19" hidden="1" x14ac:dyDescent="0.3">
      <c r="A345">
        <v>344</v>
      </c>
      <c r="B345" s="1">
        <v>44012</v>
      </c>
      <c r="C345">
        <v>16</v>
      </c>
      <c r="D345" t="s">
        <v>22</v>
      </c>
      <c r="E345" t="s">
        <v>103</v>
      </c>
      <c r="F345">
        <v>38</v>
      </c>
      <c r="G345" s="2">
        <v>107</v>
      </c>
      <c r="H345" s="2">
        <v>4066</v>
      </c>
      <c r="I345" s="1">
        <v>0</v>
      </c>
      <c r="J345" s="2">
        <v>4066</v>
      </c>
      <c r="K345" s="1">
        <v>44031</v>
      </c>
      <c r="L345" s="1">
        <v>44031</v>
      </c>
      <c r="M345">
        <v>344</v>
      </c>
      <c r="N345">
        <v>5</v>
      </c>
      <c r="O345" t="s">
        <v>56</v>
      </c>
      <c r="P345" s="3">
        <v>7.0000000000000007E-2</v>
      </c>
      <c r="Q345" s="2">
        <v>284.62</v>
      </c>
      <c r="R345">
        <v>1</v>
      </c>
      <c r="S345" t="str">
        <f t="shared" si="5"/>
        <v>Junho</v>
      </c>
    </row>
    <row r="346" spans="1:19" hidden="1" x14ac:dyDescent="0.3">
      <c r="A346">
        <v>345</v>
      </c>
      <c r="B346" s="1">
        <v>44014</v>
      </c>
      <c r="C346">
        <v>30</v>
      </c>
      <c r="D346" t="s">
        <v>83</v>
      </c>
      <c r="E346" t="s">
        <v>96</v>
      </c>
      <c r="F346">
        <v>48</v>
      </c>
      <c r="G346" s="2">
        <v>98</v>
      </c>
      <c r="H346" s="2">
        <v>4704</v>
      </c>
      <c r="I346" s="1">
        <v>0.04</v>
      </c>
      <c r="J346" s="2">
        <v>4515.84</v>
      </c>
      <c r="K346" s="1">
        <v>44017</v>
      </c>
      <c r="L346" s="1">
        <v>44017</v>
      </c>
      <c r="M346">
        <v>345</v>
      </c>
      <c r="N346">
        <v>5</v>
      </c>
      <c r="O346" t="s">
        <v>56</v>
      </c>
      <c r="P346" s="3">
        <v>7.0000000000000007E-2</v>
      </c>
      <c r="Q346" s="2">
        <v>316.10880000000003</v>
      </c>
      <c r="R346">
        <v>2</v>
      </c>
      <c r="S346" t="str">
        <f t="shared" si="5"/>
        <v>Julho</v>
      </c>
    </row>
    <row r="347" spans="1:19" hidden="1" x14ac:dyDescent="0.3">
      <c r="A347">
        <v>346</v>
      </c>
      <c r="B347" s="1">
        <v>44014</v>
      </c>
      <c r="C347">
        <v>51</v>
      </c>
      <c r="D347" t="s">
        <v>43</v>
      </c>
      <c r="E347" t="s">
        <v>101</v>
      </c>
      <c r="F347">
        <v>22</v>
      </c>
      <c r="G347" s="2">
        <v>115</v>
      </c>
      <c r="H347" s="2">
        <v>2530</v>
      </c>
      <c r="I347" s="1">
        <v>7.0000000000000007E-2</v>
      </c>
      <c r="J347" s="2">
        <v>2352.9</v>
      </c>
      <c r="K347" s="1">
        <v>44019</v>
      </c>
      <c r="L347" s="1">
        <v>44019</v>
      </c>
      <c r="M347">
        <v>346</v>
      </c>
      <c r="N347">
        <v>4</v>
      </c>
      <c r="O347" t="s">
        <v>42</v>
      </c>
      <c r="P347" s="3">
        <v>0.05</v>
      </c>
      <c r="Q347" s="2">
        <v>117.64500000000001</v>
      </c>
      <c r="R347">
        <v>3</v>
      </c>
      <c r="S347" t="str">
        <f t="shared" si="5"/>
        <v>Julho</v>
      </c>
    </row>
    <row r="348" spans="1:19" hidden="1" x14ac:dyDescent="0.3">
      <c r="A348">
        <v>347</v>
      </c>
      <c r="B348" s="1">
        <v>44014</v>
      </c>
      <c r="C348">
        <v>31</v>
      </c>
      <c r="D348" t="s">
        <v>72</v>
      </c>
      <c r="E348" t="s">
        <v>96</v>
      </c>
      <c r="F348">
        <v>12</v>
      </c>
      <c r="G348" s="2">
        <v>119</v>
      </c>
      <c r="H348" s="2">
        <v>1428</v>
      </c>
      <c r="I348" s="1">
        <v>0.13</v>
      </c>
      <c r="J348" s="2">
        <v>1242.3599999999999</v>
      </c>
      <c r="K348" s="1">
        <v>44031</v>
      </c>
      <c r="L348" s="1">
        <v>44031</v>
      </c>
      <c r="M348">
        <v>347</v>
      </c>
      <c r="N348">
        <v>5</v>
      </c>
      <c r="O348" t="s">
        <v>20</v>
      </c>
      <c r="P348" s="3">
        <v>7.0000000000000007E-2</v>
      </c>
      <c r="Q348" s="2">
        <v>86.965199999999996</v>
      </c>
      <c r="R348">
        <v>4</v>
      </c>
      <c r="S348" t="str">
        <f t="shared" si="5"/>
        <v>Julho</v>
      </c>
    </row>
    <row r="349" spans="1:19" hidden="1" x14ac:dyDescent="0.3">
      <c r="A349">
        <v>348</v>
      </c>
      <c r="B349" s="1">
        <v>44015</v>
      </c>
      <c r="C349">
        <v>8</v>
      </c>
      <c r="D349" t="s">
        <v>31</v>
      </c>
      <c r="E349" t="s">
        <v>100</v>
      </c>
      <c r="F349">
        <v>29</v>
      </c>
      <c r="G349" s="2">
        <v>107</v>
      </c>
      <c r="H349" s="2">
        <v>3103</v>
      </c>
      <c r="I349" s="1">
        <v>0.02</v>
      </c>
      <c r="J349" s="2">
        <v>3040.94</v>
      </c>
      <c r="K349" s="1">
        <v>44033</v>
      </c>
      <c r="M349">
        <v>348</v>
      </c>
      <c r="N349">
        <v>4</v>
      </c>
      <c r="O349" t="s">
        <v>42</v>
      </c>
      <c r="P349" s="3">
        <v>0.08</v>
      </c>
      <c r="Q349" s="2">
        <v>243.27520000000001</v>
      </c>
      <c r="R349">
        <v>5</v>
      </c>
      <c r="S349" t="str">
        <f t="shared" si="5"/>
        <v>Julho</v>
      </c>
    </row>
    <row r="350" spans="1:19" hidden="1" x14ac:dyDescent="0.3">
      <c r="A350">
        <v>349</v>
      </c>
      <c r="B350" s="1">
        <v>44016</v>
      </c>
      <c r="C350">
        <v>20</v>
      </c>
      <c r="D350" t="s">
        <v>32</v>
      </c>
      <c r="E350" t="s">
        <v>98</v>
      </c>
      <c r="F350">
        <v>48</v>
      </c>
      <c r="G350" s="2">
        <v>109</v>
      </c>
      <c r="H350" s="2">
        <v>5232</v>
      </c>
      <c r="I350" s="1">
        <v>7.0000000000000007E-2</v>
      </c>
      <c r="J350" s="2">
        <v>4865.76</v>
      </c>
      <c r="K350" s="1">
        <v>44036</v>
      </c>
      <c r="L350" s="1">
        <v>44036</v>
      </c>
      <c r="M350">
        <v>349</v>
      </c>
      <c r="N350">
        <v>4</v>
      </c>
      <c r="O350" t="s">
        <v>23</v>
      </c>
      <c r="P350" s="3">
        <v>0.09</v>
      </c>
      <c r="Q350" s="2">
        <v>437.91840000000002</v>
      </c>
      <c r="R350">
        <v>6</v>
      </c>
      <c r="S350" t="str">
        <f t="shared" si="5"/>
        <v>Julho</v>
      </c>
    </row>
    <row r="351" spans="1:19" hidden="1" x14ac:dyDescent="0.3">
      <c r="A351">
        <v>350</v>
      </c>
      <c r="B351" s="1">
        <v>44017</v>
      </c>
      <c r="C351">
        <v>37</v>
      </c>
      <c r="D351" t="s">
        <v>39</v>
      </c>
      <c r="E351" t="s">
        <v>103</v>
      </c>
      <c r="F351">
        <v>23</v>
      </c>
      <c r="G351" s="2">
        <v>97</v>
      </c>
      <c r="H351" s="2">
        <v>2231</v>
      </c>
      <c r="I351" s="1">
        <v>0.15</v>
      </c>
      <c r="J351" s="2">
        <v>1896.35</v>
      </c>
      <c r="K351" s="1">
        <v>44036</v>
      </c>
      <c r="L351" s="1">
        <v>44036</v>
      </c>
      <c r="M351">
        <v>350</v>
      </c>
      <c r="N351">
        <v>3</v>
      </c>
      <c r="O351" t="s">
        <v>42</v>
      </c>
      <c r="P351" s="3">
        <v>0.1</v>
      </c>
      <c r="Q351" s="2">
        <v>189.63499999999999</v>
      </c>
      <c r="R351">
        <v>7</v>
      </c>
      <c r="S351" t="str">
        <f t="shared" si="5"/>
        <v>Julho</v>
      </c>
    </row>
    <row r="352" spans="1:19" hidden="1" x14ac:dyDescent="0.3">
      <c r="A352">
        <v>351</v>
      </c>
      <c r="B352" s="1">
        <v>44017</v>
      </c>
      <c r="C352">
        <v>20</v>
      </c>
      <c r="D352" t="s">
        <v>32</v>
      </c>
      <c r="E352" t="s">
        <v>97</v>
      </c>
      <c r="F352">
        <v>42</v>
      </c>
      <c r="G352" s="2">
        <v>94</v>
      </c>
      <c r="H352" s="2">
        <v>3948</v>
      </c>
      <c r="I352" s="1">
        <v>0.06</v>
      </c>
      <c r="J352" s="2">
        <v>3711.12</v>
      </c>
      <c r="K352" s="1">
        <v>44047</v>
      </c>
      <c r="L352" s="1">
        <v>44047</v>
      </c>
      <c r="M352">
        <v>351</v>
      </c>
      <c r="N352">
        <v>1</v>
      </c>
      <c r="O352" t="s">
        <v>18</v>
      </c>
      <c r="P352" s="3">
        <v>0.1</v>
      </c>
      <c r="Q352" s="2">
        <v>371.11200000000002</v>
      </c>
      <c r="R352">
        <v>1</v>
      </c>
      <c r="S352" t="str">
        <f t="shared" si="5"/>
        <v>Julho</v>
      </c>
    </row>
    <row r="353" spans="1:19" hidden="1" x14ac:dyDescent="0.3">
      <c r="A353">
        <v>352</v>
      </c>
      <c r="B353" s="1">
        <v>44018</v>
      </c>
      <c r="C353">
        <v>6</v>
      </c>
      <c r="D353" t="s">
        <v>75</v>
      </c>
      <c r="E353" t="s">
        <v>104</v>
      </c>
      <c r="F353">
        <v>40</v>
      </c>
      <c r="G353" s="2">
        <v>103</v>
      </c>
      <c r="H353" s="2">
        <v>4120</v>
      </c>
      <c r="I353" s="1">
        <v>7.0000000000000007E-2</v>
      </c>
      <c r="J353" s="2">
        <v>3831.6</v>
      </c>
      <c r="K353" s="1">
        <v>44019</v>
      </c>
      <c r="L353" s="1">
        <v>44019</v>
      </c>
      <c r="M353">
        <v>352</v>
      </c>
      <c r="N353">
        <v>5</v>
      </c>
      <c r="O353" t="s">
        <v>56</v>
      </c>
      <c r="P353" s="3">
        <v>0.09</v>
      </c>
      <c r="Q353" s="2">
        <v>344.84399999999999</v>
      </c>
      <c r="R353">
        <v>2</v>
      </c>
      <c r="S353" t="str">
        <f t="shared" si="5"/>
        <v>Julho</v>
      </c>
    </row>
    <row r="354" spans="1:19" hidden="1" x14ac:dyDescent="0.3">
      <c r="A354">
        <v>353</v>
      </c>
      <c r="B354" s="1">
        <v>44018</v>
      </c>
      <c r="C354">
        <v>44</v>
      </c>
      <c r="D354" t="s">
        <v>58</v>
      </c>
      <c r="E354" t="s">
        <v>100</v>
      </c>
      <c r="F354">
        <v>48</v>
      </c>
      <c r="G354" s="2">
        <v>115</v>
      </c>
      <c r="H354" s="2">
        <v>5520</v>
      </c>
      <c r="I354" s="1">
        <v>0.09</v>
      </c>
      <c r="J354" s="2">
        <v>5023.2</v>
      </c>
      <c r="K354" s="1">
        <v>44038</v>
      </c>
      <c r="L354" s="1">
        <v>44038</v>
      </c>
      <c r="M354">
        <v>353</v>
      </c>
      <c r="N354">
        <v>1</v>
      </c>
      <c r="O354" t="s">
        <v>27</v>
      </c>
      <c r="P354" s="3">
        <v>0.1</v>
      </c>
      <c r="Q354" s="2">
        <v>502.32</v>
      </c>
      <c r="R354">
        <v>3</v>
      </c>
      <c r="S354" t="str">
        <f t="shared" si="5"/>
        <v>Julho</v>
      </c>
    </row>
    <row r="355" spans="1:19" x14ac:dyDescent="0.3">
      <c r="A355">
        <v>354</v>
      </c>
      <c r="B355" s="1">
        <v>44019</v>
      </c>
      <c r="C355">
        <v>32</v>
      </c>
      <c r="D355" t="s">
        <v>64</v>
      </c>
      <c r="E355" t="s">
        <v>95</v>
      </c>
      <c r="F355">
        <v>48</v>
      </c>
      <c r="G355" s="2">
        <v>112</v>
      </c>
      <c r="H355" s="2">
        <v>5376</v>
      </c>
      <c r="I355" s="1">
        <v>0.1</v>
      </c>
      <c r="J355" s="2">
        <v>4838.3999999999996</v>
      </c>
      <c r="K355" s="1">
        <v>44021</v>
      </c>
      <c r="L355" s="1">
        <v>44021</v>
      </c>
      <c r="M355">
        <v>354</v>
      </c>
      <c r="N355">
        <v>3</v>
      </c>
      <c r="O355" t="s">
        <v>35</v>
      </c>
      <c r="P355" s="3">
        <v>0.08</v>
      </c>
      <c r="Q355" s="2">
        <v>387.072</v>
      </c>
      <c r="R355">
        <v>4</v>
      </c>
      <c r="S355" t="str">
        <f t="shared" si="5"/>
        <v>Julho</v>
      </c>
    </row>
    <row r="356" spans="1:19" hidden="1" x14ac:dyDescent="0.3">
      <c r="A356">
        <v>355</v>
      </c>
      <c r="B356" s="1">
        <v>44020</v>
      </c>
      <c r="C356">
        <v>73</v>
      </c>
      <c r="D356" t="s">
        <v>31</v>
      </c>
      <c r="E356" t="s">
        <v>98</v>
      </c>
      <c r="F356">
        <v>17</v>
      </c>
      <c r="G356" s="2">
        <v>93</v>
      </c>
      <c r="H356" s="2">
        <v>1581</v>
      </c>
      <c r="I356" s="1">
        <v>0.12</v>
      </c>
      <c r="J356" s="2">
        <v>1391.28</v>
      </c>
      <c r="K356" s="1">
        <v>44038</v>
      </c>
      <c r="L356" s="1">
        <v>44038</v>
      </c>
      <c r="M356">
        <v>355</v>
      </c>
      <c r="N356">
        <v>4</v>
      </c>
      <c r="O356" t="s">
        <v>42</v>
      </c>
      <c r="P356" s="3">
        <v>0.08</v>
      </c>
      <c r="Q356" s="2">
        <v>111.30240000000001</v>
      </c>
      <c r="R356">
        <v>5</v>
      </c>
      <c r="S356" t="str">
        <f t="shared" si="5"/>
        <v>Julho</v>
      </c>
    </row>
    <row r="357" spans="1:19" hidden="1" x14ac:dyDescent="0.3">
      <c r="A357">
        <v>356</v>
      </c>
      <c r="B357" s="1">
        <v>44021</v>
      </c>
      <c r="C357">
        <v>14</v>
      </c>
      <c r="D357" t="s">
        <v>22</v>
      </c>
      <c r="E357" t="s">
        <v>102</v>
      </c>
      <c r="F357">
        <v>11</v>
      </c>
      <c r="G357" s="2">
        <v>114</v>
      </c>
      <c r="H357" s="2">
        <v>1254</v>
      </c>
      <c r="I357" s="1">
        <v>0.09</v>
      </c>
      <c r="J357" s="2">
        <v>1141.1400000000001</v>
      </c>
      <c r="K357" s="1">
        <v>44039</v>
      </c>
      <c r="L357" s="1">
        <v>44039</v>
      </c>
      <c r="M357">
        <v>356</v>
      </c>
      <c r="N357">
        <v>5</v>
      </c>
      <c r="O357" t="s">
        <v>56</v>
      </c>
      <c r="P357" s="3">
        <v>0.08</v>
      </c>
      <c r="Q357" s="2">
        <v>91.291200000000003</v>
      </c>
      <c r="R357">
        <v>6</v>
      </c>
      <c r="S357" t="str">
        <f t="shared" si="5"/>
        <v>Julho</v>
      </c>
    </row>
    <row r="358" spans="1:19" x14ac:dyDescent="0.3">
      <c r="A358">
        <v>357</v>
      </c>
      <c r="B358" s="1">
        <v>44022</v>
      </c>
      <c r="C358">
        <v>30</v>
      </c>
      <c r="D358" t="s">
        <v>83</v>
      </c>
      <c r="E358" t="s">
        <v>98</v>
      </c>
      <c r="F358">
        <v>43</v>
      </c>
      <c r="G358" s="2">
        <v>120</v>
      </c>
      <c r="H358" s="2">
        <v>5160</v>
      </c>
      <c r="I358" s="1">
        <v>0.1</v>
      </c>
      <c r="J358" s="2">
        <v>4644</v>
      </c>
      <c r="K358" s="1">
        <v>44034</v>
      </c>
      <c r="L358" s="1">
        <v>44034</v>
      </c>
      <c r="M358">
        <v>357</v>
      </c>
      <c r="N358">
        <v>4</v>
      </c>
      <c r="O358" t="s">
        <v>35</v>
      </c>
      <c r="P358" s="3">
        <v>0.09</v>
      </c>
      <c r="Q358" s="2">
        <v>417.96</v>
      </c>
      <c r="R358">
        <v>7</v>
      </c>
      <c r="S358" t="str">
        <f t="shared" si="5"/>
        <v>Julho</v>
      </c>
    </row>
    <row r="359" spans="1:19" hidden="1" x14ac:dyDescent="0.3">
      <c r="A359">
        <v>358</v>
      </c>
      <c r="B359" s="1">
        <v>44023</v>
      </c>
      <c r="C359">
        <v>42</v>
      </c>
      <c r="D359" t="s">
        <v>79</v>
      </c>
      <c r="E359" t="s">
        <v>102</v>
      </c>
      <c r="F359">
        <v>36</v>
      </c>
      <c r="G359" s="2">
        <v>94</v>
      </c>
      <c r="H359" s="2">
        <v>3384</v>
      </c>
      <c r="I359" s="1">
        <v>0.04</v>
      </c>
      <c r="J359" s="2">
        <v>3248.64</v>
      </c>
      <c r="K359" s="1">
        <v>44042</v>
      </c>
      <c r="L359" s="1">
        <v>44042</v>
      </c>
      <c r="M359">
        <v>358</v>
      </c>
      <c r="N359">
        <v>1</v>
      </c>
      <c r="O359" t="s">
        <v>20</v>
      </c>
      <c r="P359" s="3">
        <v>0.05</v>
      </c>
      <c r="Q359" s="2">
        <v>162.43200000000002</v>
      </c>
      <c r="R359">
        <v>1</v>
      </c>
      <c r="S359" t="str">
        <f t="shared" si="5"/>
        <v>Julho</v>
      </c>
    </row>
    <row r="360" spans="1:19" hidden="1" x14ac:dyDescent="0.3">
      <c r="A360">
        <v>359</v>
      </c>
      <c r="B360" s="1">
        <v>44023</v>
      </c>
      <c r="C360">
        <v>4</v>
      </c>
      <c r="D360" t="s">
        <v>73</v>
      </c>
      <c r="E360" t="s">
        <v>95</v>
      </c>
      <c r="F360">
        <v>11</v>
      </c>
      <c r="G360" s="2">
        <v>103</v>
      </c>
      <c r="H360" s="2">
        <v>1133</v>
      </c>
      <c r="I360" s="1">
        <v>0.09</v>
      </c>
      <c r="J360" s="2">
        <v>1031.03</v>
      </c>
      <c r="K360" s="1">
        <v>44053</v>
      </c>
      <c r="L360" s="1">
        <v>44053</v>
      </c>
      <c r="M360">
        <v>359</v>
      </c>
      <c r="N360">
        <v>6</v>
      </c>
      <c r="O360" t="s">
        <v>18</v>
      </c>
      <c r="P360" s="3">
        <v>0.05</v>
      </c>
      <c r="Q360" s="2">
        <v>51.551500000000004</v>
      </c>
      <c r="R360">
        <v>2</v>
      </c>
      <c r="S360" t="str">
        <f t="shared" si="5"/>
        <v>Julho</v>
      </c>
    </row>
    <row r="361" spans="1:19" hidden="1" x14ac:dyDescent="0.3">
      <c r="A361">
        <v>360</v>
      </c>
      <c r="B361" s="1">
        <v>44023</v>
      </c>
      <c r="C361">
        <v>82</v>
      </c>
      <c r="D361" t="s">
        <v>54</v>
      </c>
      <c r="E361" t="s">
        <v>100</v>
      </c>
      <c r="F361">
        <v>11</v>
      </c>
      <c r="G361" s="2">
        <v>100</v>
      </c>
      <c r="H361" s="2">
        <v>1100</v>
      </c>
      <c r="I361" s="1">
        <v>7.0000000000000007E-2</v>
      </c>
      <c r="J361" s="2">
        <v>1023</v>
      </c>
      <c r="K361" s="1">
        <v>44051</v>
      </c>
      <c r="L361" s="1">
        <v>44051</v>
      </c>
      <c r="M361">
        <v>360</v>
      </c>
      <c r="N361">
        <v>2</v>
      </c>
      <c r="O361" t="s">
        <v>56</v>
      </c>
      <c r="P361" s="3">
        <v>0.06</v>
      </c>
      <c r="Q361" s="2">
        <v>61.379999999999995</v>
      </c>
      <c r="R361">
        <v>3</v>
      </c>
      <c r="S361" t="str">
        <f t="shared" si="5"/>
        <v>Julho</v>
      </c>
    </row>
    <row r="362" spans="1:19" hidden="1" x14ac:dyDescent="0.3">
      <c r="A362">
        <v>361</v>
      </c>
      <c r="B362" s="1">
        <v>44024</v>
      </c>
      <c r="C362">
        <v>70</v>
      </c>
      <c r="D362" t="s">
        <v>54</v>
      </c>
      <c r="E362" t="s">
        <v>97</v>
      </c>
      <c r="F362">
        <v>16</v>
      </c>
      <c r="G362" s="2">
        <v>112</v>
      </c>
      <c r="H362" s="2">
        <v>1792</v>
      </c>
      <c r="I362" s="1">
        <v>7.0000000000000007E-2</v>
      </c>
      <c r="J362" s="2">
        <v>1666.56</v>
      </c>
      <c r="K362" s="1">
        <v>44028</v>
      </c>
      <c r="L362" s="1">
        <v>44028</v>
      </c>
      <c r="M362">
        <v>361</v>
      </c>
      <c r="N362">
        <v>2</v>
      </c>
      <c r="O362" t="s">
        <v>27</v>
      </c>
      <c r="P362" s="3">
        <v>7.0000000000000007E-2</v>
      </c>
      <c r="Q362" s="2">
        <v>116.65920000000001</v>
      </c>
      <c r="R362">
        <v>4</v>
      </c>
      <c r="S362" t="str">
        <f t="shared" si="5"/>
        <v>Julho</v>
      </c>
    </row>
    <row r="363" spans="1:19" hidden="1" x14ac:dyDescent="0.3">
      <c r="A363">
        <v>362</v>
      </c>
      <c r="B363" s="1">
        <v>44024</v>
      </c>
      <c r="C363">
        <v>78</v>
      </c>
      <c r="D363" t="s">
        <v>29</v>
      </c>
      <c r="E363" t="s">
        <v>97</v>
      </c>
      <c r="F363">
        <v>10</v>
      </c>
      <c r="G363" s="2">
        <v>103</v>
      </c>
      <c r="H363" s="2">
        <v>1030</v>
      </c>
      <c r="I363" s="1">
        <v>0.05</v>
      </c>
      <c r="J363" s="2">
        <v>978.5</v>
      </c>
      <c r="K363" s="1">
        <v>44025</v>
      </c>
      <c r="L363" s="1">
        <v>44025</v>
      </c>
      <c r="M363">
        <v>362</v>
      </c>
      <c r="N363">
        <v>2</v>
      </c>
      <c r="O363" t="s">
        <v>25</v>
      </c>
      <c r="P363" s="3">
        <v>0.09</v>
      </c>
      <c r="Q363" s="2">
        <v>88.064999999999998</v>
      </c>
      <c r="R363">
        <v>5</v>
      </c>
      <c r="S363" t="str">
        <f t="shared" si="5"/>
        <v>Julho</v>
      </c>
    </row>
    <row r="364" spans="1:19" hidden="1" x14ac:dyDescent="0.3">
      <c r="A364">
        <v>363</v>
      </c>
      <c r="B364" s="1">
        <v>44026</v>
      </c>
      <c r="C364">
        <v>14</v>
      </c>
      <c r="D364" t="s">
        <v>22</v>
      </c>
      <c r="E364" t="s">
        <v>96</v>
      </c>
      <c r="F364">
        <v>39</v>
      </c>
      <c r="G364" s="2">
        <v>105</v>
      </c>
      <c r="H364" s="2">
        <v>4095</v>
      </c>
      <c r="I364" s="1">
        <v>0.05</v>
      </c>
      <c r="J364" s="2">
        <v>3890.25</v>
      </c>
      <c r="K364" s="1">
        <v>44049</v>
      </c>
      <c r="L364" s="1">
        <v>44049</v>
      </c>
      <c r="M364">
        <v>363</v>
      </c>
      <c r="N364">
        <v>7</v>
      </c>
      <c r="O364" t="s">
        <v>56</v>
      </c>
      <c r="P364" s="3">
        <v>0.1</v>
      </c>
      <c r="Q364" s="2">
        <v>389.02500000000003</v>
      </c>
      <c r="R364">
        <v>6</v>
      </c>
      <c r="S364" t="str">
        <f t="shared" si="5"/>
        <v>Julho</v>
      </c>
    </row>
    <row r="365" spans="1:19" hidden="1" x14ac:dyDescent="0.3">
      <c r="A365">
        <v>364</v>
      </c>
      <c r="B365" s="1">
        <v>44028</v>
      </c>
      <c r="C365">
        <v>17</v>
      </c>
      <c r="D365" t="s">
        <v>54</v>
      </c>
      <c r="E365" t="s">
        <v>102</v>
      </c>
      <c r="F365">
        <v>40</v>
      </c>
      <c r="G365" s="2">
        <v>112</v>
      </c>
      <c r="H365" s="2">
        <v>4480</v>
      </c>
      <c r="I365" s="1">
        <v>0.04</v>
      </c>
      <c r="J365" s="2">
        <v>4300.8</v>
      </c>
      <c r="K365" s="1">
        <v>44055</v>
      </c>
      <c r="L365" s="1">
        <v>44055</v>
      </c>
      <c r="M365">
        <v>364</v>
      </c>
      <c r="N365">
        <v>6</v>
      </c>
      <c r="O365" t="s">
        <v>25</v>
      </c>
      <c r="P365" s="3">
        <v>0.1</v>
      </c>
      <c r="Q365" s="2">
        <v>430.08000000000004</v>
      </c>
      <c r="R365">
        <v>7</v>
      </c>
      <c r="S365" t="str">
        <f t="shared" si="5"/>
        <v>Julho</v>
      </c>
    </row>
    <row r="366" spans="1:19" hidden="1" x14ac:dyDescent="0.3">
      <c r="A366">
        <v>365</v>
      </c>
      <c r="B366" s="1">
        <v>44028</v>
      </c>
      <c r="C366">
        <v>22</v>
      </c>
      <c r="D366" t="s">
        <v>41</v>
      </c>
      <c r="E366" t="s">
        <v>100</v>
      </c>
      <c r="F366">
        <v>22</v>
      </c>
      <c r="G366" s="2">
        <v>111</v>
      </c>
      <c r="H366" s="2">
        <v>2442</v>
      </c>
      <c r="I366" s="1">
        <v>0.11</v>
      </c>
      <c r="J366" s="2">
        <v>2173.38</v>
      </c>
      <c r="K366" s="1">
        <v>44038</v>
      </c>
      <c r="L366" s="1">
        <v>44038</v>
      </c>
      <c r="M366">
        <v>365</v>
      </c>
      <c r="N366">
        <v>6</v>
      </c>
      <c r="O366" t="s">
        <v>25</v>
      </c>
      <c r="P366" s="3">
        <v>0.08</v>
      </c>
      <c r="Q366" s="2">
        <v>173.87040000000002</v>
      </c>
      <c r="R366">
        <v>1</v>
      </c>
      <c r="S366" t="str">
        <f t="shared" si="5"/>
        <v>Julho</v>
      </c>
    </row>
    <row r="367" spans="1:19" x14ac:dyDescent="0.3">
      <c r="A367">
        <v>366</v>
      </c>
      <c r="B367" s="1">
        <v>44030</v>
      </c>
      <c r="C367">
        <v>56</v>
      </c>
      <c r="D367" t="s">
        <v>54</v>
      </c>
      <c r="E367" t="s">
        <v>100</v>
      </c>
      <c r="F367">
        <v>26</v>
      </c>
      <c r="G367" s="2">
        <v>96</v>
      </c>
      <c r="H367" s="2">
        <v>2496</v>
      </c>
      <c r="I367" s="1">
        <v>0.08</v>
      </c>
      <c r="J367" s="2">
        <v>2296.3200000000002</v>
      </c>
      <c r="K367" s="1">
        <v>44040</v>
      </c>
      <c r="L367" s="1">
        <v>44040</v>
      </c>
      <c r="M367">
        <v>366</v>
      </c>
      <c r="N367">
        <v>6</v>
      </c>
      <c r="O367" t="s">
        <v>35</v>
      </c>
      <c r="P367" s="3">
        <v>0.1</v>
      </c>
      <c r="Q367" s="2">
        <v>229.63200000000003</v>
      </c>
      <c r="R367">
        <v>2</v>
      </c>
      <c r="S367" t="str">
        <f t="shared" si="5"/>
        <v>Julho</v>
      </c>
    </row>
    <row r="368" spans="1:19" x14ac:dyDescent="0.3">
      <c r="A368">
        <v>367</v>
      </c>
      <c r="B368" s="1">
        <v>44031</v>
      </c>
      <c r="C368">
        <v>16</v>
      </c>
      <c r="D368" t="s">
        <v>22</v>
      </c>
      <c r="E368" t="s">
        <v>96</v>
      </c>
      <c r="F368">
        <v>26</v>
      </c>
      <c r="G368" s="2">
        <v>118</v>
      </c>
      <c r="H368" s="2">
        <v>3068</v>
      </c>
      <c r="I368" s="1">
        <v>0.02</v>
      </c>
      <c r="J368" s="2">
        <v>3006.64</v>
      </c>
      <c r="K368" s="1">
        <v>44060</v>
      </c>
      <c r="L368" s="1">
        <v>44060</v>
      </c>
      <c r="M368">
        <v>367</v>
      </c>
      <c r="N368">
        <v>1</v>
      </c>
      <c r="O368" t="s">
        <v>35</v>
      </c>
      <c r="P368" s="3">
        <v>7.0000000000000007E-2</v>
      </c>
      <c r="Q368" s="2">
        <v>210.46480000000003</v>
      </c>
      <c r="R368">
        <v>3</v>
      </c>
      <c r="S368" t="str">
        <f t="shared" si="5"/>
        <v>Julho</v>
      </c>
    </row>
    <row r="369" spans="1:19" hidden="1" x14ac:dyDescent="0.3">
      <c r="A369">
        <v>368</v>
      </c>
      <c r="B369" s="1">
        <v>44031</v>
      </c>
      <c r="C369">
        <v>72</v>
      </c>
      <c r="D369" t="s">
        <v>31</v>
      </c>
      <c r="E369" t="s">
        <v>103</v>
      </c>
      <c r="F369">
        <v>38</v>
      </c>
      <c r="G369" s="2">
        <v>104</v>
      </c>
      <c r="H369" s="2">
        <v>3952</v>
      </c>
      <c r="I369" s="1">
        <v>0.01</v>
      </c>
      <c r="J369" s="2">
        <v>3912.48</v>
      </c>
      <c r="K369" s="1">
        <v>44053</v>
      </c>
      <c r="L369" s="1">
        <v>44053</v>
      </c>
      <c r="M369">
        <v>368</v>
      </c>
      <c r="N369">
        <v>6</v>
      </c>
      <c r="O369" t="s">
        <v>27</v>
      </c>
      <c r="P369" s="3">
        <v>7.0000000000000007E-2</v>
      </c>
      <c r="Q369" s="2">
        <v>273.87360000000001</v>
      </c>
      <c r="R369">
        <v>4</v>
      </c>
      <c r="S369" t="str">
        <f t="shared" si="5"/>
        <v>Julho</v>
      </c>
    </row>
    <row r="370" spans="1:19" hidden="1" x14ac:dyDescent="0.3">
      <c r="A370">
        <v>369</v>
      </c>
      <c r="B370" s="1">
        <v>44031</v>
      </c>
      <c r="C370">
        <v>8</v>
      </c>
      <c r="D370" t="s">
        <v>31</v>
      </c>
      <c r="E370" t="s">
        <v>99</v>
      </c>
      <c r="F370">
        <v>43</v>
      </c>
      <c r="G370" s="2">
        <v>94</v>
      </c>
      <c r="H370" s="2">
        <v>4042</v>
      </c>
      <c r="I370" s="1">
        <v>0.15</v>
      </c>
      <c r="J370" s="2">
        <v>3435.7</v>
      </c>
      <c r="K370" s="1">
        <v>44031</v>
      </c>
      <c r="L370" s="1">
        <v>44031</v>
      </c>
      <c r="M370">
        <v>369</v>
      </c>
      <c r="N370">
        <v>6</v>
      </c>
      <c r="O370" t="s">
        <v>42</v>
      </c>
      <c r="P370" s="3">
        <v>0.09</v>
      </c>
      <c r="Q370" s="2">
        <v>309.21299999999997</v>
      </c>
      <c r="R370">
        <v>5</v>
      </c>
      <c r="S370" t="str">
        <f t="shared" si="5"/>
        <v>Julho</v>
      </c>
    </row>
    <row r="371" spans="1:19" hidden="1" x14ac:dyDescent="0.3">
      <c r="A371">
        <v>370</v>
      </c>
      <c r="B371" s="1">
        <v>44032</v>
      </c>
      <c r="C371">
        <v>66</v>
      </c>
      <c r="D371" t="s">
        <v>24</v>
      </c>
      <c r="E371" t="s">
        <v>104</v>
      </c>
      <c r="F371">
        <v>50</v>
      </c>
      <c r="G371" s="2">
        <v>112</v>
      </c>
      <c r="H371" s="2">
        <v>5600</v>
      </c>
      <c r="I371" s="1">
        <v>0.03</v>
      </c>
      <c r="J371" s="2">
        <v>5432</v>
      </c>
      <c r="K371" s="1">
        <v>44048</v>
      </c>
      <c r="L371" s="1">
        <v>44048</v>
      </c>
      <c r="M371">
        <v>370</v>
      </c>
      <c r="N371">
        <v>5</v>
      </c>
      <c r="O371" t="s">
        <v>23</v>
      </c>
      <c r="P371" s="3">
        <v>0.06</v>
      </c>
      <c r="Q371" s="2">
        <v>325.92</v>
      </c>
      <c r="R371">
        <v>6</v>
      </c>
      <c r="S371" t="str">
        <f t="shared" si="5"/>
        <v>Julho</v>
      </c>
    </row>
    <row r="372" spans="1:19" hidden="1" x14ac:dyDescent="0.3">
      <c r="A372">
        <v>371</v>
      </c>
      <c r="B372" s="1">
        <v>44032</v>
      </c>
      <c r="C372">
        <v>17</v>
      </c>
      <c r="D372" t="s">
        <v>54</v>
      </c>
      <c r="E372" t="s">
        <v>95</v>
      </c>
      <c r="F372">
        <v>39</v>
      </c>
      <c r="G372" s="2">
        <v>116</v>
      </c>
      <c r="H372" s="2">
        <v>4524</v>
      </c>
      <c r="I372" s="1">
        <v>0.15</v>
      </c>
      <c r="J372" s="2">
        <v>3845.4</v>
      </c>
      <c r="K372" s="1">
        <v>44049</v>
      </c>
      <c r="L372" s="1">
        <v>44049</v>
      </c>
      <c r="M372">
        <v>371</v>
      </c>
      <c r="N372">
        <v>3</v>
      </c>
      <c r="O372" t="s">
        <v>27</v>
      </c>
      <c r="P372" s="3">
        <v>0.05</v>
      </c>
      <c r="Q372" s="2">
        <v>192.27</v>
      </c>
      <c r="R372">
        <v>7</v>
      </c>
      <c r="S372" t="str">
        <f t="shared" si="5"/>
        <v>Julho</v>
      </c>
    </row>
    <row r="373" spans="1:19" hidden="1" x14ac:dyDescent="0.3">
      <c r="A373">
        <v>372</v>
      </c>
      <c r="B373" s="1">
        <v>44033</v>
      </c>
      <c r="C373">
        <v>57</v>
      </c>
      <c r="D373" t="s">
        <v>76</v>
      </c>
      <c r="E373" t="s">
        <v>97</v>
      </c>
      <c r="F373">
        <v>24</v>
      </c>
      <c r="G373" s="2">
        <v>102</v>
      </c>
      <c r="H373" s="2">
        <v>2448</v>
      </c>
      <c r="I373" s="1">
        <v>0.04</v>
      </c>
      <c r="J373" s="2">
        <v>2350.08</v>
      </c>
      <c r="K373" s="1">
        <v>44063</v>
      </c>
      <c r="L373" s="1">
        <v>44063</v>
      </c>
      <c r="M373">
        <v>372</v>
      </c>
      <c r="N373">
        <v>4</v>
      </c>
      <c r="O373" t="s">
        <v>25</v>
      </c>
      <c r="P373" s="3">
        <v>0.06</v>
      </c>
      <c r="Q373" s="2">
        <v>141.00479999999999</v>
      </c>
      <c r="R373">
        <v>1</v>
      </c>
      <c r="S373" t="str">
        <f t="shared" si="5"/>
        <v>Julho</v>
      </c>
    </row>
    <row r="374" spans="1:19" hidden="1" x14ac:dyDescent="0.3">
      <c r="A374">
        <v>373</v>
      </c>
      <c r="B374" s="1">
        <v>44034</v>
      </c>
      <c r="C374">
        <v>32</v>
      </c>
      <c r="D374" t="s">
        <v>64</v>
      </c>
      <c r="E374" t="s">
        <v>97</v>
      </c>
      <c r="F374">
        <v>22</v>
      </c>
      <c r="G374" s="2">
        <v>99</v>
      </c>
      <c r="H374" s="2">
        <v>2178</v>
      </c>
      <c r="I374" s="1">
        <v>0.03</v>
      </c>
      <c r="J374" s="2">
        <v>2112.66</v>
      </c>
      <c r="K374" s="1">
        <v>44052</v>
      </c>
      <c r="L374" s="1">
        <v>44052</v>
      </c>
      <c r="M374">
        <v>373</v>
      </c>
      <c r="N374">
        <v>3</v>
      </c>
      <c r="O374" t="s">
        <v>27</v>
      </c>
      <c r="P374" s="3">
        <v>0.08</v>
      </c>
      <c r="Q374" s="2">
        <v>169.0128</v>
      </c>
      <c r="R374">
        <v>2</v>
      </c>
      <c r="S374" t="str">
        <f t="shared" si="5"/>
        <v>Julho</v>
      </c>
    </row>
    <row r="375" spans="1:19" hidden="1" x14ac:dyDescent="0.3">
      <c r="A375">
        <v>374</v>
      </c>
      <c r="B375" s="1">
        <v>44034</v>
      </c>
      <c r="C375">
        <v>97</v>
      </c>
      <c r="D375" t="s">
        <v>53</v>
      </c>
      <c r="E375" t="s">
        <v>97</v>
      </c>
      <c r="F375">
        <v>41</v>
      </c>
      <c r="G375" s="2">
        <v>105</v>
      </c>
      <c r="H375" s="2">
        <v>4305</v>
      </c>
      <c r="I375" s="1">
        <v>0.02</v>
      </c>
      <c r="J375" s="2">
        <v>4218.8999999999996</v>
      </c>
      <c r="K375" s="1">
        <v>44050</v>
      </c>
      <c r="L375" s="1">
        <v>44050</v>
      </c>
      <c r="M375">
        <v>374</v>
      </c>
      <c r="N375">
        <v>5</v>
      </c>
      <c r="O375" t="s">
        <v>20</v>
      </c>
      <c r="P375" s="3">
        <v>7.0000000000000007E-2</v>
      </c>
      <c r="Q375" s="2">
        <v>295.32299999999998</v>
      </c>
      <c r="R375">
        <v>3</v>
      </c>
      <c r="S375" t="str">
        <f t="shared" si="5"/>
        <v>Julho</v>
      </c>
    </row>
    <row r="376" spans="1:19" hidden="1" x14ac:dyDescent="0.3">
      <c r="A376">
        <v>375</v>
      </c>
      <c r="B376" s="1">
        <v>44034</v>
      </c>
      <c r="C376">
        <v>53</v>
      </c>
      <c r="D376" t="s">
        <v>75</v>
      </c>
      <c r="E376" t="s">
        <v>98</v>
      </c>
      <c r="F376">
        <v>33</v>
      </c>
      <c r="G376" s="2">
        <v>99</v>
      </c>
      <c r="H376" s="2">
        <v>3267</v>
      </c>
      <c r="I376" s="1">
        <v>7.0000000000000007E-2</v>
      </c>
      <c r="J376" s="2">
        <v>3038.31</v>
      </c>
      <c r="K376" s="1">
        <v>44044</v>
      </c>
      <c r="L376" s="1">
        <v>44044</v>
      </c>
      <c r="M376">
        <v>375</v>
      </c>
      <c r="N376">
        <v>5</v>
      </c>
      <c r="O376" t="s">
        <v>56</v>
      </c>
      <c r="P376" s="3">
        <v>7.0000000000000007E-2</v>
      </c>
      <c r="Q376" s="2">
        <v>212.68170000000001</v>
      </c>
      <c r="R376">
        <v>4</v>
      </c>
      <c r="S376" t="str">
        <f t="shared" si="5"/>
        <v>Julho</v>
      </c>
    </row>
    <row r="377" spans="1:19" hidden="1" x14ac:dyDescent="0.3">
      <c r="A377">
        <v>376</v>
      </c>
      <c r="B377" s="1">
        <v>44035</v>
      </c>
      <c r="C377">
        <v>75</v>
      </c>
      <c r="D377" t="s">
        <v>31</v>
      </c>
      <c r="E377" t="s">
        <v>98</v>
      </c>
      <c r="F377">
        <v>38</v>
      </c>
      <c r="G377" s="2">
        <v>120</v>
      </c>
      <c r="H377" s="2">
        <v>4560</v>
      </c>
      <c r="I377" s="1">
        <v>0.15</v>
      </c>
      <c r="J377" s="2">
        <v>3876</v>
      </c>
      <c r="K377" s="1">
        <v>44041</v>
      </c>
      <c r="L377" s="1">
        <v>44041</v>
      </c>
      <c r="M377">
        <v>376</v>
      </c>
      <c r="N377">
        <v>2</v>
      </c>
      <c r="O377" t="s">
        <v>25</v>
      </c>
      <c r="P377" s="3">
        <v>0.06</v>
      </c>
      <c r="Q377" s="2">
        <v>232.56</v>
      </c>
      <c r="R377">
        <v>5</v>
      </c>
      <c r="S377" t="str">
        <f t="shared" si="5"/>
        <v>Julho</v>
      </c>
    </row>
    <row r="378" spans="1:19" hidden="1" x14ac:dyDescent="0.3">
      <c r="A378">
        <v>377</v>
      </c>
      <c r="B378" s="1">
        <v>44035</v>
      </c>
      <c r="C378">
        <v>93</v>
      </c>
      <c r="D378" t="s">
        <v>26</v>
      </c>
      <c r="E378" t="s">
        <v>103</v>
      </c>
      <c r="F378">
        <v>10</v>
      </c>
      <c r="G378" s="2">
        <v>93</v>
      </c>
      <c r="H378" s="2">
        <v>930</v>
      </c>
      <c r="I378" s="1">
        <v>0.14000000000000001</v>
      </c>
      <c r="J378" s="2">
        <v>799.8</v>
      </c>
      <c r="K378" s="1">
        <v>44059</v>
      </c>
      <c r="L378" s="1">
        <v>44059</v>
      </c>
      <c r="M378">
        <v>377</v>
      </c>
      <c r="N378">
        <v>3</v>
      </c>
      <c r="O378" t="s">
        <v>20</v>
      </c>
      <c r="P378" s="3">
        <v>7.0000000000000007E-2</v>
      </c>
      <c r="Q378" s="2">
        <v>55.986000000000004</v>
      </c>
      <c r="R378">
        <v>6</v>
      </c>
      <c r="S378" t="str">
        <f t="shared" si="5"/>
        <v>Julho</v>
      </c>
    </row>
    <row r="379" spans="1:19" hidden="1" x14ac:dyDescent="0.3">
      <c r="A379">
        <v>378</v>
      </c>
      <c r="B379" s="1">
        <v>44035</v>
      </c>
      <c r="C379">
        <v>33</v>
      </c>
      <c r="D379" t="s">
        <v>63</v>
      </c>
      <c r="E379" t="s">
        <v>97</v>
      </c>
      <c r="F379">
        <v>13</v>
      </c>
      <c r="G379" s="2">
        <v>105</v>
      </c>
      <c r="H379" s="2">
        <v>1365</v>
      </c>
      <c r="I379" s="1">
        <v>0.03</v>
      </c>
      <c r="J379" s="2">
        <v>1324.05</v>
      </c>
      <c r="K379" s="1">
        <v>44042</v>
      </c>
      <c r="L379" s="1">
        <v>44042</v>
      </c>
      <c r="M379">
        <v>378</v>
      </c>
      <c r="N379">
        <v>6</v>
      </c>
      <c r="O379" t="s">
        <v>30</v>
      </c>
      <c r="P379" s="3">
        <v>0.08</v>
      </c>
      <c r="Q379" s="2">
        <v>105.92399999999999</v>
      </c>
      <c r="R379">
        <v>7</v>
      </c>
      <c r="S379" t="str">
        <f t="shared" si="5"/>
        <v>Julho</v>
      </c>
    </row>
    <row r="380" spans="1:19" hidden="1" x14ac:dyDescent="0.3">
      <c r="A380">
        <v>379</v>
      </c>
      <c r="B380" s="1">
        <v>44036</v>
      </c>
      <c r="C380">
        <v>63</v>
      </c>
      <c r="D380" t="s">
        <v>67</v>
      </c>
      <c r="E380" t="s">
        <v>103</v>
      </c>
      <c r="F380">
        <v>27</v>
      </c>
      <c r="G380" s="2">
        <v>107</v>
      </c>
      <c r="H380" s="2">
        <v>2889</v>
      </c>
      <c r="I380" s="1">
        <v>0.1</v>
      </c>
      <c r="J380" s="2">
        <v>2600.1</v>
      </c>
      <c r="K380" s="1">
        <v>44061</v>
      </c>
      <c r="L380" s="1">
        <v>44061</v>
      </c>
      <c r="M380">
        <v>379</v>
      </c>
      <c r="N380">
        <v>7</v>
      </c>
      <c r="O380" t="s">
        <v>38</v>
      </c>
      <c r="P380" s="3">
        <v>0.06</v>
      </c>
      <c r="Q380" s="2">
        <v>156.006</v>
      </c>
      <c r="R380">
        <v>1</v>
      </c>
      <c r="S380" t="str">
        <f t="shared" si="5"/>
        <v>Julho</v>
      </c>
    </row>
    <row r="381" spans="1:19" hidden="1" x14ac:dyDescent="0.3">
      <c r="A381">
        <v>380</v>
      </c>
      <c r="B381" s="1">
        <v>44036</v>
      </c>
      <c r="C381">
        <v>59</v>
      </c>
      <c r="D381" t="s">
        <v>84</v>
      </c>
      <c r="E381" t="s">
        <v>98</v>
      </c>
      <c r="F381">
        <v>25</v>
      </c>
      <c r="G381" s="2">
        <v>92</v>
      </c>
      <c r="H381" s="2">
        <v>2300</v>
      </c>
      <c r="I381" s="1">
        <v>0.04</v>
      </c>
      <c r="J381" s="2">
        <v>2208</v>
      </c>
      <c r="K381" s="1">
        <v>44039</v>
      </c>
      <c r="L381" s="1">
        <v>44039</v>
      </c>
      <c r="M381">
        <v>380</v>
      </c>
      <c r="N381">
        <v>2</v>
      </c>
      <c r="O381" t="s">
        <v>23</v>
      </c>
      <c r="P381" s="3">
        <v>0.06</v>
      </c>
      <c r="Q381" s="2">
        <v>132.47999999999999</v>
      </c>
      <c r="R381">
        <v>2</v>
      </c>
      <c r="S381" t="str">
        <f t="shared" si="5"/>
        <v>Julho</v>
      </c>
    </row>
    <row r="382" spans="1:19" hidden="1" x14ac:dyDescent="0.3">
      <c r="A382">
        <v>381</v>
      </c>
      <c r="B382" s="1">
        <v>44036</v>
      </c>
      <c r="C382">
        <v>82</v>
      </c>
      <c r="D382" t="s">
        <v>54</v>
      </c>
      <c r="E382" t="s">
        <v>99</v>
      </c>
      <c r="F382">
        <v>43</v>
      </c>
      <c r="G382" s="2">
        <v>119</v>
      </c>
      <c r="H382" s="2">
        <v>5117</v>
      </c>
      <c r="I382" s="1">
        <v>0</v>
      </c>
      <c r="J382" s="2">
        <v>5117</v>
      </c>
      <c r="K382" s="1">
        <v>44046</v>
      </c>
      <c r="L382" s="1">
        <v>44046</v>
      </c>
      <c r="M382">
        <v>381</v>
      </c>
      <c r="N382">
        <v>2</v>
      </c>
      <c r="O382" t="s">
        <v>42</v>
      </c>
      <c r="P382" s="3">
        <v>0.06</v>
      </c>
      <c r="Q382" s="2">
        <v>307.02</v>
      </c>
      <c r="R382">
        <v>3</v>
      </c>
      <c r="S382" t="str">
        <f t="shared" si="5"/>
        <v>Julho</v>
      </c>
    </row>
    <row r="383" spans="1:19" x14ac:dyDescent="0.3">
      <c r="A383">
        <v>382</v>
      </c>
      <c r="B383" s="1">
        <v>44037</v>
      </c>
      <c r="C383">
        <v>46</v>
      </c>
      <c r="D383" t="s">
        <v>81</v>
      </c>
      <c r="E383" t="s">
        <v>96</v>
      </c>
      <c r="F383">
        <v>47</v>
      </c>
      <c r="G383" s="2">
        <v>107</v>
      </c>
      <c r="H383" s="2">
        <v>5029</v>
      </c>
      <c r="I383" s="1">
        <v>0.1</v>
      </c>
      <c r="J383" s="2">
        <v>4526.1000000000004</v>
      </c>
      <c r="K383" s="1">
        <v>44050</v>
      </c>
      <c r="L383" s="1">
        <v>44050</v>
      </c>
      <c r="M383">
        <v>382</v>
      </c>
      <c r="N383">
        <v>6</v>
      </c>
      <c r="O383" t="s">
        <v>35</v>
      </c>
      <c r="P383" s="3">
        <v>0.1</v>
      </c>
      <c r="Q383" s="2">
        <v>452.61000000000007</v>
      </c>
      <c r="R383">
        <v>4</v>
      </c>
      <c r="S383" t="str">
        <f t="shared" si="5"/>
        <v>Julho</v>
      </c>
    </row>
    <row r="384" spans="1:19" hidden="1" x14ac:dyDescent="0.3">
      <c r="A384">
        <v>383</v>
      </c>
      <c r="B384" s="1">
        <v>44038</v>
      </c>
      <c r="C384">
        <v>98</v>
      </c>
      <c r="D384" t="s">
        <v>21</v>
      </c>
      <c r="E384" t="s">
        <v>95</v>
      </c>
      <c r="F384">
        <v>11</v>
      </c>
      <c r="G384" s="2">
        <v>95</v>
      </c>
      <c r="H384" s="2">
        <v>1045</v>
      </c>
      <c r="I384" s="1">
        <v>0.08</v>
      </c>
      <c r="J384" s="2">
        <v>961.4</v>
      </c>
      <c r="K384" s="1">
        <v>44044</v>
      </c>
      <c r="L384" s="1">
        <v>44044</v>
      </c>
      <c r="M384">
        <v>383</v>
      </c>
      <c r="N384">
        <v>2</v>
      </c>
      <c r="O384" t="s">
        <v>20</v>
      </c>
      <c r="P384" s="3">
        <v>7.0000000000000007E-2</v>
      </c>
      <c r="Q384" s="2">
        <v>67.298000000000002</v>
      </c>
      <c r="R384">
        <v>5</v>
      </c>
      <c r="S384" t="str">
        <f t="shared" si="5"/>
        <v>Julho</v>
      </c>
    </row>
    <row r="385" spans="1:19" hidden="1" x14ac:dyDescent="0.3">
      <c r="A385">
        <v>384</v>
      </c>
      <c r="B385" s="1">
        <v>44039</v>
      </c>
      <c r="C385">
        <v>12</v>
      </c>
      <c r="D385" t="s">
        <v>37</v>
      </c>
      <c r="E385" t="s">
        <v>98</v>
      </c>
      <c r="F385">
        <v>41</v>
      </c>
      <c r="G385" s="2">
        <v>105</v>
      </c>
      <c r="H385" s="2">
        <v>4305</v>
      </c>
      <c r="I385" s="1">
        <v>0</v>
      </c>
      <c r="J385" s="2">
        <v>4305</v>
      </c>
      <c r="K385" s="1">
        <v>44063</v>
      </c>
      <c r="L385" s="1">
        <v>44063</v>
      </c>
      <c r="M385">
        <v>384</v>
      </c>
      <c r="N385">
        <v>3</v>
      </c>
      <c r="O385" t="s">
        <v>23</v>
      </c>
      <c r="P385" s="3">
        <v>0.08</v>
      </c>
      <c r="Q385" s="2">
        <v>344.40000000000003</v>
      </c>
      <c r="R385">
        <v>6</v>
      </c>
      <c r="S385" t="str">
        <f t="shared" si="5"/>
        <v>Julho</v>
      </c>
    </row>
    <row r="386" spans="1:19" hidden="1" x14ac:dyDescent="0.3">
      <c r="A386">
        <v>385</v>
      </c>
      <c r="B386" s="1">
        <v>44041</v>
      </c>
      <c r="C386">
        <v>80</v>
      </c>
      <c r="D386" t="s">
        <v>31</v>
      </c>
      <c r="E386" t="s">
        <v>104</v>
      </c>
      <c r="F386">
        <v>49</v>
      </c>
      <c r="G386" s="2">
        <v>109</v>
      </c>
      <c r="H386" s="2">
        <v>5341</v>
      </c>
      <c r="I386" s="1">
        <v>0.15</v>
      </c>
      <c r="J386" s="2">
        <v>4539.8500000000004</v>
      </c>
      <c r="K386" s="1">
        <v>44042</v>
      </c>
      <c r="L386" s="1">
        <v>44042</v>
      </c>
      <c r="M386">
        <v>385</v>
      </c>
      <c r="N386">
        <v>2</v>
      </c>
      <c r="O386" t="s">
        <v>42</v>
      </c>
      <c r="P386" s="3">
        <v>0.06</v>
      </c>
      <c r="Q386" s="2">
        <v>272.39100000000002</v>
      </c>
      <c r="R386">
        <v>7</v>
      </c>
      <c r="S386" t="str">
        <f t="shared" si="5"/>
        <v>Julho</v>
      </c>
    </row>
    <row r="387" spans="1:19" hidden="1" x14ac:dyDescent="0.3">
      <c r="A387">
        <v>386</v>
      </c>
      <c r="B387" s="1">
        <v>44042</v>
      </c>
      <c r="C387">
        <v>49</v>
      </c>
      <c r="D387" t="s">
        <v>31</v>
      </c>
      <c r="E387" t="s">
        <v>99</v>
      </c>
      <c r="F387">
        <v>18</v>
      </c>
      <c r="G387" s="2">
        <v>102</v>
      </c>
      <c r="H387" s="2">
        <v>1836</v>
      </c>
      <c r="I387" s="1">
        <v>0.15</v>
      </c>
      <c r="J387" s="2">
        <v>1560.6</v>
      </c>
      <c r="K387" s="1">
        <v>44051</v>
      </c>
      <c r="L387" s="1">
        <v>44051</v>
      </c>
      <c r="M387">
        <v>386</v>
      </c>
      <c r="N387">
        <v>4</v>
      </c>
      <c r="O387" t="s">
        <v>25</v>
      </c>
      <c r="P387" s="3">
        <v>0.09</v>
      </c>
      <c r="Q387" s="2">
        <v>140.45399999999998</v>
      </c>
      <c r="R387">
        <v>1</v>
      </c>
      <c r="S387" t="str">
        <f t="shared" ref="S387:S450" si="6">PROPER(TEXT(B387,"mmmm"))</f>
        <v>Julho</v>
      </c>
    </row>
    <row r="388" spans="1:19" hidden="1" x14ac:dyDescent="0.3">
      <c r="A388">
        <v>387</v>
      </c>
      <c r="B388" s="1">
        <v>44043</v>
      </c>
      <c r="C388">
        <v>89</v>
      </c>
      <c r="D388" t="s">
        <v>40</v>
      </c>
      <c r="E388" t="s">
        <v>103</v>
      </c>
      <c r="F388">
        <v>43</v>
      </c>
      <c r="G388" s="2">
        <v>91</v>
      </c>
      <c r="H388" s="2">
        <v>3913</v>
      </c>
      <c r="I388" s="1">
        <v>0.15</v>
      </c>
      <c r="J388" s="2">
        <v>3326.05</v>
      </c>
      <c r="K388" s="1">
        <v>44052</v>
      </c>
      <c r="L388" s="1">
        <v>44052</v>
      </c>
      <c r="M388">
        <v>387</v>
      </c>
      <c r="N388">
        <v>4</v>
      </c>
      <c r="O388" t="s">
        <v>30</v>
      </c>
      <c r="P388" s="3">
        <v>0.09</v>
      </c>
      <c r="Q388" s="2">
        <v>299.34449999999998</v>
      </c>
      <c r="R388">
        <v>2</v>
      </c>
      <c r="S388" t="str">
        <f t="shared" si="6"/>
        <v>Julho</v>
      </c>
    </row>
    <row r="389" spans="1:19" hidden="1" x14ac:dyDescent="0.3">
      <c r="A389">
        <v>388</v>
      </c>
      <c r="B389" s="1">
        <v>44043</v>
      </c>
      <c r="C389">
        <v>79</v>
      </c>
      <c r="D389" t="s">
        <v>26</v>
      </c>
      <c r="E389" t="s">
        <v>98</v>
      </c>
      <c r="F389">
        <v>40</v>
      </c>
      <c r="G389" s="2">
        <v>104</v>
      </c>
      <c r="H389" s="2">
        <v>4160</v>
      </c>
      <c r="I389" s="1">
        <v>0.11</v>
      </c>
      <c r="J389" s="2">
        <v>3702.4</v>
      </c>
      <c r="K389" s="1">
        <v>44063</v>
      </c>
      <c r="L389" s="1">
        <v>44063</v>
      </c>
      <c r="M389">
        <v>388</v>
      </c>
      <c r="N389">
        <v>6</v>
      </c>
      <c r="O389" t="s">
        <v>20</v>
      </c>
      <c r="P389" s="3">
        <v>0.05</v>
      </c>
      <c r="Q389" s="2">
        <v>185.12</v>
      </c>
      <c r="R389">
        <v>3</v>
      </c>
      <c r="S389" t="str">
        <f t="shared" si="6"/>
        <v>Julho</v>
      </c>
    </row>
    <row r="390" spans="1:19" hidden="1" x14ac:dyDescent="0.3">
      <c r="A390">
        <v>389</v>
      </c>
      <c r="B390" s="1">
        <v>44043</v>
      </c>
      <c r="C390">
        <v>58</v>
      </c>
      <c r="D390" t="s">
        <v>59</v>
      </c>
      <c r="E390" t="s">
        <v>97</v>
      </c>
      <c r="F390">
        <v>31</v>
      </c>
      <c r="G390" s="2">
        <v>90</v>
      </c>
      <c r="H390" s="2">
        <v>2790</v>
      </c>
      <c r="I390" s="1">
        <v>0</v>
      </c>
      <c r="J390" s="2">
        <v>2790</v>
      </c>
      <c r="K390" s="1">
        <v>44050</v>
      </c>
      <c r="L390" s="1">
        <v>44050</v>
      </c>
      <c r="M390">
        <v>389</v>
      </c>
      <c r="N390">
        <v>5</v>
      </c>
      <c r="O390" t="s">
        <v>42</v>
      </c>
      <c r="P390" s="3">
        <v>0.08</v>
      </c>
      <c r="Q390" s="2">
        <v>223.20000000000002</v>
      </c>
      <c r="R390">
        <v>4</v>
      </c>
      <c r="S390" t="str">
        <f t="shared" si="6"/>
        <v>Julho</v>
      </c>
    </row>
    <row r="391" spans="1:19" hidden="1" x14ac:dyDescent="0.3">
      <c r="A391">
        <v>390</v>
      </c>
      <c r="B391" s="1">
        <v>44044</v>
      </c>
      <c r="C391">
        <v>22</v>
      </c>
      <c r="D391" t="s">
        <v>41</v>
      </c>
      <c r="E391" t="s">
        <v>98</v>
      </c>
      <c r="F391">
        <v>41</v>
      </c>
      <c r="G391" s="2">
        <v>112</v>
      </c>
      <c r="H391" s="2">
        <v>4592</v>
      </c>
      <c r="I391" s="1">
        <v>0.03</v>
      </c>
      <c r="J391" s="2">
        <v>4454.24</v>
      </c>
      <c r="K391" s="1">
        <v>44052</v>
      </c>
      <c r="L391" s="1">
        <v>44052</v>
      </c>
      <c r="M391">
        <v>390</v>
      </c>
      <c r="N391">
        <v>3</v>
      </c>
      <c r="O391" t="s">
        <v>42</v>
      </c>
      <c r="P391" s="3">
        <v>7.0000000000000007E-2</v>
      </c>
      <c r="Q391" s="2">
        <v>311.79680000000002</v>
      </c>
      <c r="R391">
        <v>5</v>
      </c>
      <c r="S391" t="str">
        <f t="shared" si="6"/>
        <v>Agosto</v>
      </c>
    </row>
    <row r="392" spans="1:19" hidden="1" x14ac:dyDescent="0.3">
      <c r="A392">
        <v>391</v>
      </c>
      <c r="B392" s="1">
        <v>44044</v>
      </c>
      <c r="C392">
        <v>15</v>
      </c>
      <c r="D392" t="s">
        <v>64</v>
      </c>
      <c r="E392" t="s">
        <v>98</v>
      </c>
      <c r="F392">
        <v>48</v>
      </c>
      <c r="G392" s="2">
        <v>102</v>
      </c>
      <c r="H392" s="2">
        <v>4896</v>
      </c>
      <c r="I392" s="1">
        <v>0.03</v>
      </c>
      <c r="J392" s="2">
        <v>4749.12</v>
      </c>
      <c r="K392" s="1">
        <v>44057</v>
      </c>
      <c r="L392" s="1">
        <v>44057</v>
      </c>
      <c r="M392">
        <v>391</v>
      </c>
      <c r="N392">
        <v>6</v>
      </c>
      <c r="O392" t="s">
        <v>42</v>
      </c>
      <c r="P392" s="3">
        <v>0.06</v>
      </c>
      <c r="Q392" s="2">
        <v>284.94720000000001</v>
      </c>
      <c r="R392">
        <v>6</v>
      </c>
      <c r="S392" t="str">
        <f t="shared" si="6"/>
        <v>Agosto</v>
      </c>
    </row>
    <row r="393" spans="1:19" hidden="1" x14ac:dyDescent="0.3">
      <c r="A393">
        <v>392</v>
      </c>
      <c r="B393" s="1">
        <v>44044</v>
      </c>
      <c r="C393">
        <v>6</v>
      </c>
      <c r="D393" t="s">
        <v>75</v>
      </c>
      <c r="E393" t="s">
        <v>95</v>
      </c>
      <c r="F393">
        <v>15</v>
      </c>
      <c r="G393" s="2">
        <v>96</v>
      </c>
      <c r="H393" s="2">
        <v>1440</v>
      </c>
      <c r="I393" s="1">
        <v>0.01</v>
      </c>
      <c r="J393" s="2">
        <v>1425.6</v>
      </c>
      <c r="K393" s="1">
        <v>44049</v>
      </c>
      <c r="L393" s="1">
        <v>44049</v>
      </c>
      <c r="M393">
        <v>392</v>
      </c>
      <c r="N393">
        <v>3</v>
      </c>
      <c r="O393" t="s">
        <v>25</v>
      </c>
      <c r="P393" s="3">
        <v>0.09</v>
      </c>
      <c r="Q393" s="2">
        <v>128.30399999999997</v>
      </c>
      <c r="R393">
        <v>7</v>
      </c>
      <c r="S393" t="str">
        <f t="shared" si="6"/>
        <v>Agosto</v>
      </c>
    </row>
    <row r="394" spans="1:19" hidden="1" x14ac:dyDescent="0.3">
      <c r="A394">
        <v>393</v>
      </c>
      <c r="B394" s="1">
        <v>44044</v>
      </c>
      <c r="C394">
        <v>77</v>
      </c>
      <c r="D394" t="s">
        <v>52</v>
      </c>
      <c r="E394" t="s">
        <v>100</v>
      </c>
      <c r="F394">
        <v>36</v>
      </c>
      <c r="G394" s="2">
        <v>119</v>
      </c>
      <c r="H394" s="2">
        <v>4284</v>
      </c>
      <c r="I394" s="1">
        <v>0.06</v>
      </c>
      <c r="J394" s="2">
        <v>4026.96</v>
      </c>
      <c r="K394" s="1">
        <v>44044</v>
      </c>
      <c r="L394" s="1">
        <v>44044</v>
      </c>
      <c r="M394">
        <v>393</v>
      </c>
      <c r="N394">
        <v>2</v>
      </c>
      <c r="O394" t="s">
        <v>30</v>
      </c>
      <c r="P394" s="3">
        <v>7.0000000000000007E-2</v>
      </c>
      <c r="Q394" s="2">
        <v>281.88720000000001</v>
      </c>
      <c r="R394">
        <v>1</v>
      </c>
      <c r="S394" t="str">
        <f t="shared" si="6"/>
        <v>Agosto</v>
      </c>
    </row>
    <row r="395" spans="1:19" hidden="1" x14ac:dyDescent="0.3">
      <c r="A395">
        <v>394</v>
      </c>
      <c r="B395" s="1">
        <v>44045</v>
      </c>
      <c r="C395">
        <v>17</v>
      </c>
      <c r="D395" t="s">
        <v>54</v>
      </c>
      <c r="E395" t="s">
        <v>97</v>
      </c>
      <c r="F395">
        <v>22</v>
      </c>
      <c r="G395" s="2">
        <v>95</v>
      </c>
      <c r="H395" s="2">
        <v>2090</v>
      </c>
      <c r="I395" s="1">
        <v>0.1</v>
      </c>
      <c r="J395" s="2">
        <v>1881</v>
      </c>
      <c r="K395" s="1">
        <v>44063</v>
      </c>
      <c r="L395" s="1">
        <v>44063</v>
      </c>
      <c r="M395">
        <v>394</v>
      </c>
      <c r="N395">
        <v>4</v>
      </c>
      <c r="O395" t="s">
        <v>27</v>
      </c>
      <c r="P395" s="3">
        <v>0.09</v>
      </c>
      <c r="Q395" s="2">
        <v>169.29</v>
      </c>
      <c r="R395">
        <v>2</v>
      </c>
      <c r="S395" t="str">
        <f t="shared" si="6"/>
        <v>Agosto</v>
      </c>
    </row>
    <row r="396" spans="1:19" hidden="1" x14ac:dyDescent="0.3">
      <c r="A396">
        <v>395</v>
      </c>
      <c r="B396" s="1">
        <v>44045</v>
      </c>
      <c r="C396">
        <v>18</v>
      </c>
      <c r="D396" t="s">
        <v>70</v>
      </c>
      <c r="E396" t="s">
        <v>104</v>
      </c>
      <c r="F396">
        <v>13</v>
      </c>
      <c r="G396" s="2">
        <v>107</v>
      </c>
      <c r="H396" s="2">
        <v>1391</v>
      </c>
      <c r="I396" s="1">
        <v>0.02</v>
      </c>
      <c r="J396" s="2">
        <v>1363.18</v>
      </c>
      <c r="K396" s="1">
        <v>44064</v>
      </c>
      <c r="L396" s="1">
        <v>44064</v>
      </c>
      <c r="M396">
        <v>395</v>
      </c>
      <c r="N396">
        <v>4</v>
      </c>
      <c r="O396" t="s">
        <v>23</v>
      </c>
      <c r="P396" s="3">
        <v>0.08</v>
      </c>
      <c r="Q396" s="2">
        <v>109.0544</v>
      </c>
      <c r="R396">
        <v>3</v>
      </c>
      <c r="S396" t="str">
        <f t="shared" si="6"/>
        <v>Agosto</v>
      </c>
    </row>
    <row r="397" spans="1:19" hidden="1" x14ac:dyDescent="0.3">
      <c r="A397">
        <v>396</v>
      </c>
      <c r="B397" s="1">
        <v>44045</v>
      </c>
      <c r="C397">
        <v>28</v>
      </c>
      <c r="D397" t="s">
        <v>73</v>
      </c>
      <c r="E397" t="s">
        <v>98</v>
      </c>
      <c r="F397">
        <v>40</v>
      </c>
      <c r="G397" s="2">
        <v>90</v>
      </c>
      <c r="H397" s="2">
        <v>3600</v>
      </c>
      <c r="I397" s="1">
        <v>0</v>
      </c>
      <c r="J397" s="2">
        <v>3600</v>
      </c>
      <c r="K397" s="1">
        <v>44053</v>
      </c>
      <c r="L397" s="1">
        <v>44053</v>
      </c>
      <c r="M397">
        <v>396</v>
      </c>
      <c r="N397">
        <v>4</v>
      </c>
      <c r="O397" t="s">
        <v>23</v>
      </c>
      <c r="P397" s="3">
        <v>0.08</v>
      </c>
      <c r="Q397" s="2">
        <v>288</v>
      </c>
      <c r="R397">
        <v>4</v>
      </c>
      <c r="S397" t="str">
        <f t="shared" si="6"/>
        <v>Agosto</v>
      </c>
    </row>
    <row r="398" spans="1:19" hidden="1" x14ac:dyDescent="0.3">
      <c r="A398">
        <v>397</v>
      </c>
      <c r="B398" s="1">
        <v>44046</v>
      </c>
      <c r="C398">
        <v>81</v>
      </c>
      <c r="D398" t="s">
        <v>90</v>
      </c>
      <c r="E398" t="s">
        <v>97</v>
      </c>
      <c r="F398">
        <v>12</v>
      </c>
      <c r="G398" s="2">
        <v>104</v>
      </c>
      <c r="H398" s="2">
        <v>1248</v>
      </c>
      <c r="I398" s="1">
        <v>0.05</v>
      </c>
      <c r="J398" s="2">
        <v>1185.5999999999999</v>
      </c>
      <c r="K398" s="1">
        <v>44049</v>
      </c>
      <c r="L398" s="1">
        <v>44049</v>
      </c>
      <c r="M398">
        <v>397</v>
      </c>
      <c r="N398">
        <v>1</v>
      </c>
      <c r="O398" t="s">
        <v>18</v>
      </c>
      <c r="P398" s="3">
        <v>0.09</v>
      </c>
      <c r="Q398" s="2">
        <v>106.70399999999999</v>
      </c>
      <c r="R398">
        <v>5</v>
      </c>
      <c r="S398" t="str">
        <f t="shared" si="6"/>
        <v>Agosto</v>
      </c>
    </row>
    <row r="399" spans="1:19" hidden="1" x14ac:dyDescent="0.3">
      <c r="A399">
        <v>398</v>
      </c>
      <c r="B399" s="1">
        <v>44047</v>
      </c>
      <c r="C399">
        <v>35</v>
      </c>
      <c r="D399" t="s">
        <v>31</v>
      </c>
      <c r="E399" t="s">
        <v>98</v>
      </c>
      <c r="F399">
        <v>18</v>
      </c>
      <c r="G399" s="2">
        <v>109</v>
      </c>
      <c r="H399" s="2">
        <v>1962</v>
      </c>
      <c r="I399" s="1">
        <v>0.13</v>
      </c>
      <c r="J399" s="2">
        <v>1706.94</v>
      </c>
      <c r="K399" s="1">
        <v>44072</v>
      </c>
      <c r="L399" s="1">
        <v>44072</v>
      </c>
      <c r="M399">
        <v>398</v>
      </c>
      <c r="N399">
        <v>7</v>
      </c>
      <c r="O399" t="s">
        <v>38</v>
      </c>
      <c r="P399" s="3">
        <v>0.09</v>
      </c>
      <c r="Q399" s="2">
        <v>153.62459999999999</v>
      </c>
      <c r="R399">
        <v>6</v>
      </c>
      <c r="S399" t="str">
        <f t="shared" si="6"/>
        <v>Agosto</v>
      </c>
    </row>
    <row r="400" spans="1:19" hidden="1" x14ac:dyDescent="0.3">
      <c r="A400">
        <v>399</v>
      </c>
      <c r="B400" s="1">
        <v>44047</v>
      </c>
      <c r="C400">
        <v>49</v>
      </c>
      <c r="D400" t="s">
        <v>31</v>
      </c>
      <c r="E400" t="s">
        <v>103</v>
      </c>
      <c r="F400">
        <v>25</v>
      </c>
      <c r="G400" s="2">
        <v>104</v>
      </c>
      <c r="H400" s="2">
        <v>2600</v>
      </c>
      <c r="I400" s="1">
        <v>0.04</v>
      </c>
      <c r="J400" s="2">
        <v>2496</v>
      </c>
      <c r="K400" s="1">
        <v>44077</v>
      </c>
      <c r="L400" s="1">
        <v>44077</v>
      </c>
      <c r="M400">
        <v>399</v>
      </c>
      <c r="N400">
        <v>2</v>
      </c>
      <c r="O400" t="s">
        <v>18</v>
      </c>
      <c r="P400" s="3">
        <v>0.09</v>
      </c>
      <c r="Q400" s="2">
        <v>224.64</v>
      </c>
      <c r="R400">
        <v>7</v>
      </c>
      <c r="S400" t="str">
        <f t="shared" si="6"/>
        <v>Agosto</v>
      </c>
    </row>
    <row r="401" spans="1:19" hidden="1" x14ac:dyDescent="0.3">
      <c r="A401">
        <v>400</v>
      </c>
      <c r="B401" s="1">
        <v>44047</v>
      </c>
      <c r="C401">
        <v>43</v>
      </c>
      <c r="D401" t="s">
        <v>86</v>
      </c>
      <c r="E401" t="s">
        <v>100</v>
      </c>
      <c r="F401">
        <v>10</v>
      </c>
      <c r="G401" s="2">
        <v>106</v>
      </c>
      <c r="H401" s="2">
        <v>1060</v>
      </c>
      <c r="I401" s="1">
        <v>0.04</v>
      </c>
      <c r="J401" s="2">
        <v>1017.6</v>
      </c>
      <c r="K401" s="1">
        <v>44057</v>
      </c>
      <c r="L401" s="1">
        <v>44057</v>
      </c>
      <c r="M401">
        <v>400</v>
      </c>
      <c r="N401">
        <v>6</v>
      </c>
      <c r="O401" t="s">
        <v>25</v>
      </c>
      <c r="P401" s="3">
        <v>0.08</v>
      </c>
      <c r="Q401" s="2">
        <v>81.408000000000001</v>
      </c>
      <c r="R401">
        <v>1</v>
      </c>
      <c r="S401" t="str">
        <f t="shared" si="6"/>
        <v>Agosto</v>
      </c>
    </row>
    <row r="402" spans="1:19" hidden="1" x14ac:dyDescent="0.3">
      <c r="A402">
        <v>401</v>
      </c>
      <c r="B402" s="1">
        <v>44047</v>
      </c>
      <c r="C402">
        <v>27</v>
      </c>
      <c r="D402" t="s">
        <v>88</v>
      </c>
      <c r="E402" t="s">
        <v>95</v>
      </c>
      <c r="F402">
        <v>47</v>
      </c>
      <c r="G402" s="2">
        <v>119</v>
      </c>
      <c r="H402" s="2">
        <v>5593</v>
      </c>
      <c r="I402" s="1">
        <v>0.1</v>
      </c>
      <c r="J402" s="2">
        <v>5033.7</v>
      </c>
      <c r="K402" s="1">
        <v>44058</v>
      </c>
      <c r="L402" s="1">
        <v>44058</v>
      </c>
      <c r="M402">
        <v>401</v>
      </c>
      <c r="N402">
        <v>5</v>
      </c>
      <c r="O402" t="s">
        <v>42</v>
      </c>
      <c r="P402" s="3">
        <v>0.08</v>
      </c>
      <c r="Q402" s="2">
        <v>402.69599999999997</v>
      </c>
      <c r="R402">
        <v>2</v>
      </c>
      <c r="S402" t="str">
        <f t="shared" si="6"/>
        <v>Agosto</v>
      </c>
    </row>
    <row r="403" spans="1:19" hidden="1" x14ac:dyDescent="0.3">
      <c r="A403">
        <v>402</v>
      </c>
      <c r="B403" s="1">
        <v>44047</v>
      </c>
      <c r="C403">
        <v>52</v>
      </c>
      <c r="D403" t="s">
        <v>19</v>
      </c>
      <c r="E403" t="s">
        <v>99</v>
      </c>
      <c r="F403">
        <v>21</v>
      </c>
      <c r="G403" s="2">
        <v>92</v>
      </c>
      <c r="H403" s="2">
        <v>1932</v>
      </c>
      <c r="I403" s="1">
        <v>0.02</v>
      </c>
      <c r="J403" s="2">
        <v>1893.36</v>
      </c>
      <c r="K403" s="1">
        <v>44048</v>
      </c>
      <c r="L403" s="1">
        <v>44048</v>
      </c>
      <c r="M403">
        <v>402</v>
      </c>
      <c r="N403">
        <v>7</v>
      </c>
      <c r="O403" t="s">
        <v>42</v>
      </c>
      <c r="P403" s="3">
        <v>0.09</v>
      </c>
      <c r="Q403" s="2">
        <v>170.40239999999997</v>
      </c>
      <c r="R403">
        <v>3</v>
      </c>
      <c r="S403" t="str">
        <f t="shared" si="6"/>
        <v>Agosto</v>
      </c>
    </row>
    <row r="404" spans="1:19" hidden="1" x14ac:dyDescent="0.3">
      <c r="A404">
        <v>403</v>
      </c>
      <c r="B404" s="1">
        <v>44047</v>
      </c>
      <c r="C404">
        <v>78</v>
      </c>
      <c r="D404" t="s">
        <v>29</v>
      </c>
      <c r="E404" t="s">
        <v>99</v>
      </c>
      <c r="F404">
        <v>18</v>
      </c>
      <c r="G404" s="2">
        <v>104</v>
      </c>
      <c r="H404" s="2">
        <v>1872</v>
      </c>
      <c r="I404" s="1">
        <v>0.11</v>
      </c>
      <c r="J404" s="2">
        <v>1666.08</v>
      </c>
      <c r="K404" s="1">
        <v>44067</v>
      </c>
      <c r="L404" s="1">
        <v>44067</v>
      </c>
      <c r="M404">
        <v>403</v>
      </c>
      <c r="N404">
        <v>5</v>
      </c>
      <c r="O404" t="s">
        <v>25</v>
      </c>
      <c r="P404" s="3">
        <v>7.0000000000000007E-2</v>
      </c>
      <c r="Q404" s="2">
        <v>116.62560000000001</v>
      </c>
      <c r="R404">
        <v>4</v>
      </c>
      <c r="S404" t="str">
        <f t="shared" si="6"/>
        <v>Agosto</v>
      </c>
    </row>
    <row r="405" spans="1:19" hidden="1" x14ac:dyDescent="0.3">
      <c r="A405">
        <v>404</v>
      </c>
      <c r="B405" s="1">
        <v>44048</v>
      </c>
      <c r="C405">
        <v>29</v>
      </c>
      <c r="D405" t="s">
        <v>85</v>
      </c>
      <c r="E405" t="s">
        <v>104</v>
      </c>
      <c r="F405">
        <v>25</v>
      </c>
      <c r="G405" s="2">
        <v>118</v>
      </c>
      <c r="H405" s="2">
        <v>2950</v>
      </c>
      <c r="I405" s="1">
        <v>0.02</v>
      </c>
      <c r="J405" s="2">
        <v>2891</v>
      </c>
      <c r="K405" s="1">
        <v>44076</v>
      </c>
      <c r="L405" s="1">
        <v>44076</v>
      </c>
      <c r="M405">
        <v>404</v>
      </c>
      <c r="N405">
        <v>5</v>
      </c>
      <c r="O405" t="s">
        <v>38</v>
      </c>
      <c r="P405" s="3">
        <v>0.08</v>
      </c>
      <c r="Q405" s="2">
        <v>231.28</v>
      </c>
      <c r="R405">
        <v>5</v>
      </c>
      <c r="S405" t="str">
        <f t="shared" si="6"/>
        <v>Agosto</v>
      </c>
    </row>
    <row r="406" spans="1:19" hidden="1" x14ac:dyDescent="0.3">
      <c r="A406">
        <v>405</v>
      </c>
      <c r="B406" s="1">
        <v>44048</v>
      </c>
      <c r="C406">
        <v>88</v>
      </c>
      <c r="D406" t="s">
        <v>31</v>
      </c>
      <c r="E406" t="s">
        <v>98</v>
      </c>
      <c r="F406">
        <v>27</v>
      </c>
      <c r="G406" s="2">
        <v>120</v>
      </c>
      <c r="H406" s="2">
        <v>3240</v>
      </c>
      <c r="I406" s="1">
        <v>7.0000000000000007E-2</v>
      </c>
      <c r="J406" s="2">
        <v>3013.2</v>
      </c>
      <c r="K406" s="1">
        <v>44072</v>
      </c>
      <c r="L406" s="1">
        <v>44072</v>
      </c>
      <c r="M406">
        <v>405</v>
      </c>
      <c r="N406">
        <v>3</v>
      </c>
      <c r="O406" t="s">
        <v>23</v>
      </c>
      <c r="P406" s="3">
        <v>7.0000000000000007E-2</v>
      </c>
      <c r="Q406" s="2">
        <v>210.92400000000001</v>
      </c>
      <c r="R406">
        <v>6</v>
      </c>
      <c r="S406" t="str">
        <f t="shared" si="6"/>
        <v>Agosto</v>
      </c>
    </row>
    <row r="407" spans="1:19" hidden="1" x14ac:dyDescent="0.3">
      <c r="A407">
        <v>406</v>
      </c>
      <c r="B407" s="1">
        <v>44048</v>
      </c>
      <c r="C407">
        <v>69</v>
      </c>
      <c r="D407" t="s">
        <v>54</v>
      </c>
      <c r="E407" t="s">
        <v>97</v>
      </c>
      <c r="F407">
        <v>49</v>
      </c>
      <c r="G407" s="2">
        <v>93</v>
      </c>
      <c r="H407" s="2">
        <v>4557</v>
      </c>
      <c r="I407" s="1">
        <v>0.13</v>
      </c>
      <c r="J407" s="2">
        <v>3964.59</v>
      </c>
      <c r="K407" s="1">
        <v>44068</v>
      </c>
      <c r="L407" s="1">
        <v>44068</v>
      </c>
      <c r="M407">
        <v>406</v>
      </c>
      <c r="N407">
        <v>2</v>
      </c>
      <c r="O407" t="s">
        <v>56</v>
      </c>
      <c r="P407" s="3">
        <v>7.0000000000000007E-2</v>
      </c>
      <c r="Q407" s="2">
        <v>277.52130000000005</v>
      </c>
      <c r="R407">
        <v>7</v>
      </c>
      <c r="S407" t="str">
        <f t="shared" si="6"/>
        <v>Agosto</v>
      </c>
    </row>
    <row r="408" spans="1:19" hidden="1" x14ac:dyDescent="0.3">
      <c r="A408">
        <v>407</v>
      </c>
      <c r="B408" s="1">
        <v>44048</v>
      </c>
      <c r="C408">
        <v>60</v>
      </c>
      <c r="D408" t="s">
        <v>69</v>
      </c>
      <c r="E408" t="s">
        <v>95</v>
      </c>
      <c r="F408">
        <v>15</v>
      </c>
      <c r="G408" s="2">
        <v>109</v>
      </c>
      <c r="H408" s="2">
        <v>1635</v>
      </c>
      <c r="I408" s="1">
        <v>0.1</v>
      </c>
      <c r="J408" s="2">
        <v>1471.5</v>
      </c>
      <c r="K408" s="1">
        <v>44051</v>
      </c>
      <c r="L408" s="1">
        <v>44051</v>
      </c>
      <c r="M408">
        <v>407</v>
      </c>
      <c r="N408">
        <v>5</v>
      </c>
      <c r="O408" t="s">
        <v>23</v>
      </c>
      <c r="P408" s="3">
        <v>0.09</v>
      </c>
      <c r="Q408" s="2">
        <v>132.435</v>
      </c>
      <c r="R408">
        <v>1</v>
      </c>
      <c r="S408" t="str">
        <f t="shared" si="6"/>
        <v>Agosto</v>
      </c>
    </row>
    <row r="409" spans="1:19" hidden="1" x14ac:dyDescent="0.3">
      <c r="A409">
        <v>408</v>
      </c>
      <c r="B409" s="1">
        <v>44048</v>
      </c>
      <c r="C409">
        <v>62</v>
      </c>
      <c r="D409" t="s">
        <v>31</v>
      </c>
      <c r="E409" t="s">
        <v>104</v>
      </c>
      <c r="F409">
        <v>30</v>
      </c>
      <c r="G409" s="2">
        <v>109</v>
      </c>
      <c r="H409" s="2">
        <v>3270</v>
      </c>
      <c r="I409" s="1">
        <v>0.13</v>
      </c>
      <c r="J409" s="2">
        <v>2844.9</v>
      </c>
      <c r="K409" s="1">
        <v>44050</v>
      </c>
      <c r="L409" s="1">
        <v>44050</v>
      </c>
      <c r="M409">
        <v>408</v>
      </c>
      <c r="N409">
        <v>1</v>
      </c>
      <c r="O409" t="s">
        <v>42</v>
      </c>
      <c r="P409" s="3">
        <v>0.09</v>
      </c>
      <c r="Q409" s="2">
        <v>256.041</v>
      </c>
      <c r="R409">
        <v>2</v>
      </c>
      <c r="S409" t="str">
        <f t="shared" si="6"/>
        <v>Agosto</v>
      </c>
    </row>
    <row r="410" spans="1:19" hidden="1" x14ac:dyDescent="0.3">
      <c r="A410">
        <v>409</v>
      </c>
      <c r="B410" s="1">
        <v>44049</v>
      </c>
      <c r="C410">
        <v>41</v>
      </c>
      <c r="D410" t="s">
        <v>55</v>
      </c>
      <c r="E410" t="s">
        <v>98</v>
      </c>
      <c r="F410">
        <v>21</v>
      </c>
      <c r="G410" s="2">
        <v>101</v>
      </c>
      <c r="H410" s="2">
        <v>2121</v>
      </c>
      <c r="I410" s="1">
        <v>0.1</v>
      </c>
      <c r="J410" s="2">
        <v>1908.9</v>
      </c>
      <c r="K410" s="1">
        <v>44059</v>
      </c>
      <c r="L410" s="1">
        <v>44059</v>
      </c>
      <c r="M410">
        <v>409</v>
      </c>
      <c r="N410">
        <v>5</v>
      </c>
      <c r="O410" t="s">
        <v>42</v>
      </c>
      <c r="P410" s="3">
        <v>0.09</v>
      </c>
      <c r="Q410" s="2">
        <v>171.80099999999999</v>
      </c>
      <c r="R410">
        <v>3</v>
      </c>
      <c r="S410" t="str">
        <f t="shared" si="6"/>
        <v>Agosto</v>
      </c>
    </row>
    <row r="411" spans="1:19" hidden="1" x14ac:dyDescent="0.3">
      <c r="A411">
        <v>410</v>
      </c>
      <c r="B411" s="1">
        <v>44050</v>
      </c>
      <c r="C411">
        <v>1</v>
      </c>
      <c r="D411" t="s">
        <v>80</v>
      </c>
      <c r="E411" t="s">
        <v>99</v>
      </c>
      <c r="F411">
        <v>15</v>
      </c>
      <c r="G411" s="2">
        <v>107</v>
      </c>
      <c r="H411" s="2">
        <v>1605</v>
      </c>
      <c r="I411" s="1">
        <v>0.05</v>
      </c>
      <c r="J411" s="2">
        <v>1524.75</v>
      </c>
      <c r="K411" s="1">
        <v>44059</v>
      </c>
      <c r="L411" s="1">
        <v>44059</v>
      </c>
      <c r="M411">
        <v>410</v>
      </c>
      <c r="N411">
        <v>5</v>
      </c>
      <c r="O411" t="s">
        <v>20</v>
      </c>
      <c r="P411" s="3">
        <v>0.09</v>
      </c>
      <c r="Q411" s="2">
        <v>137.22749999999999</v>
      </c>
      <c r="R411">
        <v>4</v>
      </c>
      <c r="S411" t="str">
        <f t="shared" si="6"/>
        <v>Agosto</v>
      </c>
    </row>
    <row r="412" spans="1:19" hidden="1" x14ac:dyDescent="0.3">
      <c r="A412">
        <v>411</v>
      </c>
      <c r="B412" s="1">
        <v>44050</v>
      </c>
      <c r="C412">
        <v>8</v>
      </c>
      <c r="D412" t="s">
        <v>31</v>
      </c>
      <c r="E412" t="s">
        <v>99</v>
      </c>
      <c r="F412">
        <v>21</v>
      </c>
      <c r="G412" s="2">
        <v>92</v>
      </c>
      <c r="H412" s="2">
        <v>1932</v>
      </c>
      <c r="I412" s="1">
        <v>0.06</v>
      </c>
      <c r="J412" s="2">
        <v>1816.08</v>
      </c>
      <c r="K412" s="1">
        <v>44064</v>
      </c>
      <c r="L412" s="1">
        <v>44064</v>
      </c>
      <c r="M412">
        <v>411</v>
      </c>
      <c r="N412">
        <v>2</v>
      </c>
      <c r="O412" t="s">
        <v>23</v>
      </c>
      <c r="P412" s="3">
        <v>0.1</v>
      </c>
      <c r="Q412" s="2">
        <v>181.608</v>
      </c>
      <c r="R412">
        <v>5</v>
      </c>
      <c r="S412" t="str">
        <f t="shared" si="6"/>
        <v>Agosto</v>
      </c>
    </row>
    <row r="413" spans="1:19" hidden="1" x14ac:dyDescent="0.3">
      <c r="A413">
        <v>412</v>
      </c>
      <c r="B413" s="1">
        <v>44050</v>
      </c>
      <c r="C413">
        <v>52</v>
      </c>
      <c r="D413" t="s">
        <v>19</v>
      </c>
      <c r="E413" t="s">
        <v>99</v>
      </c>
      <c r="F413">
        <v>39</v>
      </c>
      <c r="G413" s="2">
        <v>105</v>
      </c>
      <c r="H413" s="2">
        <v>4095</v>
      </c>
      <c r="I413" s="1">
        <v>0.08</v>
      </c>
      <c r="J413" s="2">
        <v>3767.4</v>
      </c>
      <c r="K413" s="1">
        <v>44065</v>
      </c>
      <c r="L413" s="1">
        <v>44065</v>
      </c>
      <c r="M413">
        <v>412</v>
      </c>
      <c r="N413">
        <v>5</v>
      </c>
      <c r="O413" t="s">
        <v>25</v>
      </c>
      <c r="P413" s="3">
        <v>0.09</v>
      </c>
      <c r="Q413" s="2">
        <v>339.06599999999997</v>
      </c>
      <c r="R413">
        <v>6</v>
      </c>
      <c r="S413" t="str">
        <f t="shared" si="6"/>
        <v>Agosto</v>
      </c>
    </row>
    <row r="414" spans="1:19" hidden="1" x14ac:dyDescent="0.3">
      <c r="A414">
        <v>413</v>
      </c>
      <c r="B414" s="1">
        <v>44050</v>
      </c>
      <c r="C414">
        <v>39</v>
      </c>
      <c r="D414" t="s">
        <v>31</v>
      </c>
      <c r="E414" t="s">
        <v>99</v>
      </c>
      <c r="F414">
        <v>45</v>
      </c>
      <c r="G414" s="2">
        <v>113</v>
      </c>
      <c r="H414" s="2">
        <v>5085</v>
      </c>
      <c r="I414" s="1">
        <v>0</v>
      </c>
      <c r="J414" s="2">
        <v>5085</v>
      </c>
      <c r="K414" s="1">
        <v>44053</v>
      </c>
      <c r="L414" s="1">
        <v>44053</v>
      </c>
      <c r="M414">
        <v>413</v>
      </c>
      <c r="N414">
        <v>7</v>
      </c>
      <c r="O414" t="s">
        <v>27</v>
      </c>
      <c r="P414" s="3">
        <v>7.0000000000000007E-2</v>
      </c>
      <c r="Q414" s="2">
        <v>355.95000000000005</v>
      </c>
      <c r="R414">
        <v>7</v>
      </c>
      <c r="S414" t="str">
        <f t="shared" si="6"/>
        <v>Agosto</v>
      </c>
    </row>
    <row r="415" spans="1:19" x14ac:dyDescent="0.3">
      <c r="A415">
        <v>414</v>
      </c>
      <c r="B415" s="1">
        <v>44053</v>
      </c>
      <c r="C415">
        <v>87</v>
      </c>
      <c r="D415" t="s">
        <v>33</v>
      </c>
      <c r="E415" t="s">
        <v>99</v>
      </c>
      <c r="F415">
        <v>15</v>
      </c>
      <c r="G415" s="2">
        <v>91</v>
      </c>
      <c r="H415" s="2">
        <v>1365</v>
      </c>
      <c r="I415" s="1">
        <v>0.06</v>
      </c>
      <c r="J415" s="2">
        <v>1283.0999999999999</v>
      </c>
      <c r="K415" s="1">
        <v>44066</v>
      </c>
      <c r="L415" s="1">
        <v>44066</v>
      </c>
      <c r="M415">
        <v>414</v>
      </c>
      <c r="N415">
        <v>3</v>
      </c>
      <c r="O415" t="s">
        <v>35</v>
      </c>
      <c r="P415" s="3">
        <v>0.05</v>
      </c>
      <c r="Q415" s="2">
        <v>64.155000000000001</v>
      </c>
      <c r="R415">
        <v>1</v>
      </c>
      <c r="S415" t="str">
        <f t="shared" si="6"/>
        <v>Agosto</v>
      </c>
    </row>
    <row r="416" spans="1:19" hidden="1" x14ac:dyDescent="0.3">
      <c r="A416">
        <v>415</v>
      </c>
      <c r="B416" s="1">
        <v>44053</v>
      </c>
      <c r="C416">
        <v>24</v>
      </c>
      <c r="D416" t="s">
        <v>61</v>
      </c>
      <c r="E416" t="s">
        <v>95</v>
      </c>
      <c r="F416">
        <v>15</v>
      </c>
      <c r="G416" s="2">
        <v>110</v>
      </c>
      <c r="H416" s="2">
        <v>1650</v>
      </c>
      <c r="I416" s="1">
        <v>0.01</v>
      </c>
      <c r="J416" s="2">
        <v>1633.5</v>
      </c>
      <c r="K416" s="1">
        <v>44079</v>
      </c>
      <c r="L416" s="1">
        <v>44079</v>
      </c>
      <c r="M416">
        <v>415</v>
      </c>
      <c r="N416">
        <v>2</v>
      </c>
      <c r="O416" t="s">
        <v>30</v>
      </c>
      <c r="P416" s="3">
        <v>0.09</v>
      </c>
      <c r="Q416" s="2">
        <v>147.01499999999999</v>
      </c>
      <c r="R416">
        <v>2</v>
      </c>
      <c r="S416" t="str">
        <f t="shared" si="6"/>
        <v>Agosto</v>
      </c>
    </row>
    <row r="417" spans="1:19" hidden="1" x14ac:dyDescent="0.3">
      <c r="A417">
        <v>416</v>
      </c>
      <c r="B417" s="1">
        <v>44054</v>
      </c>
      <c r="C417">
        <v>13</v>
      </c>
      <c r="D417" t="s">
        <v>62</v>
      </c>
      <c r="E417" t="s">
        <v>97</v>
      </c>
      <c r="F417">
        <v>38</v>
      </c>
      <c r="G417" s="2">
        <v>111</v>
      </c>
      <c r="H417" s="2">
        <v>4218</v>
      </c>
      <c r="I417" s="1">
        <v>0.08</v>
      </c>
      <c r="J417" s="2">
        <v>3880.56</v>
      </c>
      <c r="K417" s="1">
        <v>44082</v>
      </c>
      <c r="L417" s="1">
        <v>44082</v>
      </c>
      <c r="M417">
        <v>416</v>
      </c>
      <c r="N417">
        <v>4</v>
      </c>
      <c r="O417" t="s">
        <v>38</v>
      </c>
      <c r="P417" s="3">
        <v>0.06</v>
      </c>
      <c r="Q417" s="2">
        <v>232.83359999999999</v>
      </c>
      <c r="R417">
        <v>3</v>
      </c>
      <c r="S417" t="str">
        <f t="shared" si="6"/>
        <v>Agosto</v>
      </c>
    </row>
    <row r="418" spans="1:19" hidden="1" x14ac:dyDescent="0.3">
      <c r="A418">
        <v>417</v>
      </c>
      <c r="B418" s="1">
        <v>44056</v>
      </c>
      <c r="C418">
        <v>25</v>
      </c>
      <c r="D418" t="s">
        <v>50</v>
      </c>
      <c r="E418" t="s">
        <v>96</v>
      </c>
      <c r="F418">
        <v>13</v>
      </c>
      <c r="G418" s="2">
        <v>115</v>
      </c>
      <c r="H418" s="2">
        <v>1495</v>
      </c>
      <c r="I418" s="1">
        <v>0.14000000000000001</v>
      </c>
      <c r="J418" s="2">
        <v>1285.7</v>
      </c>
      <c r="K418" s="1">
        <v>44076</v>
      </c>
      <c r="L418" s="1">
        <v>44076</v>
      </c>
      <c r="M418">
        <v>417</v>
      </c>
      <c r="N418">
        <v>7</v>
      </c>
      <c r="O418" t="s">
        <v>23</v>
      </c>
      <c r="P418" s="3">
        <v>0.1</v>
      </c>
      <c r="Q418" s="2">
        <v>128.57000000000002</v>
      </c>
      <c r="R418">
        <v>4</v>
      </c>
      <c r="S418" t="str">
        <f t="shared" si="6"/>
        <v>Agosto</v>
      </c>
    </row>
    <row r="419" spans="1:19" hidden="1" x14ac:dyDescent="0.3">
      <c r="A419">
        <v>418</v>
      </c>
      <c r="B419" s="1">
        <v>44056</v>
      </c>
      <c r="C419">
        <v>88</v>
      </c>
      <c r="D419" t="s">
        <v>31</v>
      </c>
      <c r="E419" t="s">
        <v>98</v>
      </c>
      <c r="F419">
        <v>39</v>
      </c>
      <c r="G419" s="2">
        <v>112</v>
      </c>
      <c r="H419" s="2">
        <v>4368</v>
      </c>
      <c r="I419" s="1">
        <v>0.04</v>
      </c>
      <c r="J419" s="2">
        <v>4193.28</v>
      </c>
      <c r="K419" s="1">
        <v>44063</v>
      </c>
      <c r="L419" s="1">
        <v>44063</v>
      </c>
      <c r="M419">
        <v>418</v>
      </c>
      <c r="N419">
        <v>5</v>
      </c>
      <c r="O419" t="s">
        <v>18</v>
      </c>
      <c r="P419" s="3">
        <v>0.09</v>
      </c>
      <c r="Q419" s="2">
        <v>377.39519999999999</v>
      </c>
      <c r="R419">
        <v>5</v>
      </c>
      <c r="S419" t="str">
        <f t="shared" si="6"/>
        <v>Agosto</v>
      </c>
    </row>
    <row r="420" spans="1:19" x14ac:dyDescent="0.3">
      <c r="A420">
        <v>419</v>
      </c>
      <c r="B420" s="1">
        <v>44056</v>
      </c>
      <c r="C420">
        <v>78</v>
      </c>
      <c r="D420" t="s">
        <v>29</v>
      </c>
      <c r="E420" t="s">
        <v>101</v>
      </c>
      <c r="F420">
        <v>19</v>
      </c>
      <c r="G420" s="2">
        <v>103</v>
      </c>
      <c r="H420" s="2">
        <v>1957</v>
      </c>
      <c r="I420" s="1">
        <v>0.01</v>
      </c>
      <c r="J420" s="2">
        <v>1937.43</v>
      </c>
      <c r="K420" s="1">
        <v>44080</v>
      </c>
      <c r="L420" s="1">
        <v>44080</v>
      </c>
      <c r="M420">
        <v>419</v>
      </c>
      <c r="N420">
        <v>5</v>
      </c>
      <c r="O420" t="s">
        <v>35</v>
      </c>
      <c r="P420" s="3">
        <v>0.06</v>
      </c>
      <c r="Q420" s="2">
        <v>116.2458</v>
      </c>
      <c r="R420">
        <v>6</v>
      </c>
      <c r="S420" t="str">
        <f t="shared" si="6"/>
        <v>Agosto</v>
      </c>
    </row>
    <row r="421" spans="1:19" hidden="1" x14ac:dyDescent="0.3">
      <c r="A421">
        <v>420</v>
      </c>
      <c r="B421" s="1">
        <v>44056</v>
      </c>
      <c r="C421">
        <v>32</v>
      </c>
      <c r="D421" t="s">
        <v>64</v>
      </c>
      <c r="E421" t="s">
        <v>98</v>
      </c>
      <c r="F421">
        <v>46</v>
      </c>
      <c r="G421" s="2">
        <v>95</v>
      </c>
      <c r="H421" s="2">
        <v>4370</v>
      </c>
      <c r="I421" s="1">
        <v>0.05</v>
      </c>
      <c r="J421" s="2">
        <v>4151.5</v>
      </c>
      <c r="K421" s="1">
        <v>44070</v>
      </c>
      <c r="L421" s="1">
        <v>44070</v>
      </c>
      <c r="M421">
        <v>420</v>
      </c>
      <c r="N421">
        <v>7</v>
      </c>
      <c r="O421" t="s">
        <v>56</v>
      </c>
      <c r="P421" s="3">
        <v>0.05</v>
      </c>
      <c r="Q421" s="2">
        <v>207.57500000000002</v>
      </c>
      <c r="R421">
        <v>7</v>
      </c>
      <c r="S421" t="str">
        <f t="shared" si="6"/>
        <v>Agosto</v>
      </c>
    </row>
    <row r="422" spans="1:19" x14ac:dyDescent="0.3">
      <c r="A422">
        <v>421</v>
      </c>
      <c r="B422" s="1">
        <v>44057</v>
      </c>
      <c r="C422">
        <v>39</v>
      </c>
      <c r="D422" t="s">
        <v>31</v>
      </c>
      <c r="E422" t="s">
        <v>98</v>
      </c>
      <c r="F422">
        <v>47</v>
      </c>
      <c r="G422" s="2">
        <v>110</v>
      </c>
      <c r="H422" s="2">
        <v>5170</v>
      </c>
      <c r="I422" s="1">
        <v>0.12</v>
      </c>
      <c r="J422" s="2">
        <v>4549.6000000000004</v>
      </c>
      <c r="K422" s="1">
        <v>44067</v>
      </c>
      <c r="L422" s="1">
        <v>44067</v>
      </c>
      <c r="M422">
        <v>421</v>
      </c>
      <c r="N422">
        <v>7</v>
      </c>
      <c r="O422" t="s">
        <v>35</v>
      </c>
      <c r="P422" s="3">
        <v>0.1</v>
      </c>
      <c r="Q422" s="2">
        <v>454.96000000000004</v>
      </c>
      <c r="R422">
        <v>1</v>
      </c>
      <c r="S422" t="str">
        <f t="shared" si="6"/>
        <v>Agosto</v>
      </c>
    </row>
    <row r="423" spans="1:19" x14ac:dyDescent="0.3">
      <c r="A423">
        <v>422</v>
      </c>
      <c r="B423" s="1">
        <v>44057</v>
      </c>
      <c r="C423">
        <v>77</v>
      </c>
      <c r="D423" t="s">
        <v>52</v>
      </c>
      <c r="E423" t="s">
        <v>96</v>
      </c>
      <c r="F423">
        <v>21</v>
      </c>
      <c r="G423" s="2">
        <v>103</v>
      </c>
      <c r="H423" s="2">
        <v>2163</v>
      </c>
      <c r="I423" s="1">
        <v>0.12</v>
      </c>
      <c r="J423" s="2">
        <v>1903.44</v>
      </c>
      <c r="K423" s="1">
        <v>44075</v>
      </c>
      <c r="L423" s="1">
        <v>44075</v>
      </c>
      <c r="M423">
        <v>422</v>
      </c>
      <c r="N423">
        <v>4</v>
      </c>
      <c r="O423" t="s">
        <v>35</v>
      </c>
      <c r="P423" s="3">
        <v>0.1</v>
      </c>
      <c r="Q423" s="2">
        <v>190.34400000000002</v>
      </c>
      <c r="R423">
        <v>2</v>
      </c>
      <c r="S423" t="str">
        <f t="shared" si="6"/>
        <v>Agosto</v>
      </c>
    </row>
    <row r="424" spans="1:19" hidden="1" x14ac:dyDescent="0.3">
      <c r="A424">
        <v>423</v>
      </c>
      <c r="B424" s="1">
        <v>44058</v>
      </c>
      <c r="C424">
        <v>94</v>
      </c>
      <c r="D424" t="s">
        <v>40</v>
      </c>
      <c r="E424" t="s">
        <v>96</v>
      </c>
      <c r="F424">
        <v>22</v>
      </c>
      <c r="G424" s="2">
        <v>113</v>
      </c>
      <c r="H424" s="2">
        <v>2486</v>
      </c>
      <c r="I424" s="1">
        <v>0.13</v>
      </c>
      <c r="J424" s="2">
        <v>2162.8200000000002</v>
      </c>
      <c r="K424" s="1">
        <v>44079</v>
      </c>
      <c r="L424" s="1">
        <v>44079</v>
      </c>
      <c r="M424">
        <v>423</v>
      </c>
      <c r="N424">
        <v>1</v>
      </c>
      <c r="O424" t="s">
        <v>38</v>
      </c>
      <c r="P424" s="3">
        <v>0.05</v>
      </c>
      <c r="Q424" s="2">
        <v>108.14100000000002</v>
      </c>
      <c r="R424">
        <v>3</v>
      </c>
      <c r="S424" t="str">
        <f t="shared" si="6"/>
        <v>Agosto</v>
      </c>
    </row>
    <row r="425" spans="1:19" hidden="1" x14ac:dyDescent="0.3">
      <c r="A425">
        <v>424</v>
      </c>
      <c r="B425" s="1">
        <v>44058</v>
      </c>
      <c r="C425">
        <v>93</v>
      </c>
      <c r="D425" t="s">
        <v>26</v>
      </c>
      <c r="E425" t="s">
        <v>97</v>
      </c>
      <c r="F425">
        <v>36</v>
      </c>
      <c r="G425" s="2">
        <v>109</v>
      </c>
      <c r="H425" s="2">
        <v>3924</v>
      </c>
      <c r="I425" s="1">
        <v>0.03</v>
      </c>
      <c r="J425" s="2">
        <v>3806.28</v>
      </c>
      <c r="K425" s="1">
        <v>44085</v>
      </c>
      <c r="L425" s="1">
        <v>44085</v>
      </c>
      <c r="M425">
        <v>424</v>
      </c>
      <c r="N425">
        <v>3</v>
      </c>
      <c r="O425" t="s">
        <v>42</v>
      </c>
      <c r="P425" s="3">
        <v>0.06</v>
      </c>
      <c r="Q425" s="2">
        <v>228.3768</v>
      </c>
      <c r="R425">
        <v>4</v>
      </c>
      <c r="S425" t="str">
        <f t="shared" si="6"/>
        <v>Agosto</v>
      </c>
    </row>
    <row r="426" spans="1:19" hidden="1" x14ac:dyDescent="0.3">
      <c r="A426">
        <v>425</v>
      </c>
      <c r="B426" s="1">
        <v>44059</v>
      </c>
      <c r="C426">
        <v>32</v>
      </c>
      <c r="D426" t="s">
        <v>64</v>
      </c>
      <c r="E426" t="s">
        <v>95</v>
      </c>
      <c r="F426">
        <v>17</v>
      </c>
      <c r="G426" s="2">
        <v>116</v>
      </c>
      <c r="H426" s="2">
        <v>1972</v>
      </c>
      <c r="I426" s="1">
        <v>0.05</v>
      </c>
      <c r="J426" s="2">
        <v>1873.4</v>
      </c>
      <c r="K426" s="1">
        <v>44060</v>
      </c>
      <c r="L426" s="1">
        <v>44060</v>
      </c>
      <c r="M426">
        <v>425</v>
      </c>
      <c r="N426">
        <v>3</v>
      </c>
      <c r="O426" t="s">
        <v>38</v>
      </c>
      <c r="P426" s="3">
        <v>0.05</v>
      </c>
      <c r="Q426" s="2">
        <v>93.670000000000016</v>
      </c>
      <c r="R426">
        <v>5</v>
      </c>
      <c r="S426" t="str">
        <f t="shared" si="6"/>
        <v>Agosto</v>
      </c>
    </row>
    <row r="427" spans="1:19" hidden="1" x14ac:dyDescent="0.3">
      <c r="A427">
        <v>426</v>
      </c>
      <c r="B427" s="1">
        <v>44059</v>
      </c>
      <c r="C427">
        <v>14</v>
      </c>
      <c r="D427" t="s">
        <v>22</v>
      </c>
      <c r="E427" t="s">
        <v>96</v>
      </c>
      <c r="F427">
        <v>46</v>
      </c>
      <c r="G427" s="2">
        <v>100</v>
      </c>
      <c r="H427" s="2">
        <v>4600</v>
      </c>
      <c r="I427" s="1">
        <v>0.04</v>
      </c>
      <c r="J427" s="2">
        <v>4416</v>
      </c>
      <c r="K427" s="1">
        <v>44083</v>
      </c>
      <c r="L427" s="1">
        <v>44083</v>
      </c>
      <c r="M427">
        <v>426</v>
      </c>
      <c r="N427">
        <v>4</v>
      </c>
      <c r="O427" t="s">
        <v>23</v>
      </c>
      <c r="P427" s="3">
        <v>0.09</v>
      </c>
      <c r="Q427" s="2">
        <v>397.44</v>
      </c>
      <c r="R427">
        <v>6</v>
      </c>
      <c r="S427" t="str">
        <f t="shared" si="6"/>
        <v>Agosto</v>
      </c>
    </row>
    <row r="428" spans="1:19" hidden="1" x14ac:dyDescent="0.3">
      <c r="A428">
        <v>427</v>
      </c>
      <c r="B428" s="1">
        <v>44060</v>
      </c>
      <c r="C428">
        <v>79</v>
      </c>
      <c r="D428" t="s">
        <v>26</v>
      </c>
      <c r="E428" t="s">
        <v>96</v>
      </c>
      <c r="F428">
        <v>20</v>
      </c>
      <c r="G428" s="2">
        <v>103</v>
      </c>
      <c r="H428" s="2">
        <v>2060</v>
      </c>
      <c r="I428" s="1">
        <v>7.0000000000000007E-2</v>
      </c>
      <c r="J428" s="2">
        <v>1915.8</v>
      </c>
      <c r="K428" s="1">
        <v>44066</v>
      </c>
      <c r="L428" s="1">
        <v>44066</v>
      </c>
      <c r="M428">
        <v>427</v>
      </c>
      <c r="N428">
        <v>2</v>
      </c>
      <c r="O428" t="s">
        <v>30</v>
      </c>
      <c r="P428" s="3">
        <v>0.1</v>
      </c>
      <c r="Q428" s="2">
        <v>191.58</v>
      </c>
      <c r="R428">
        <v>7</v>
      </c>
      <c r="S428" t="str">
        <f t="shared" si="6"/>
        <v>Agosto</v>
      </c>
    </row>
    <row r="429" spans="1:19" hidden="1" x14ac:dyDescent="0.3">
      <c r="A429">
        <v>428</v>
      </c>
      <c r="B429" s="1">
        <v>44060</v>
      </c>
      <c r="C429">
        <v>31</v>
      </c>
      <c r="D429" t="s">
        <v>72</v>
      </c>
      <c r="E429" t="s">
        <v>103</v>
      </c>
      <c r="F429">
        <v>10</v>
      </c>
      <c r="G429" s="2">
        <v>94</v>
      </c>
      <c r="H429" s="2">
        <v>940</v>
      </c>
      <c r="I429" s="1">
        <v>0.04</v>
      </c>
      <c r="J429" s="2">
        <v>902.4</v>
      </c>
      <c r="K429" s="1">
        <v>44071</v>
      </c>
      <c r="L429" s="1">
        <v>44071</v>
      </c>
      <c r="M429">
        <v>428</v>
      </c>
      <c r="N429">
        <v>5</v>
      </c>
      <c r="O429" t="s">
        <v>56</v>
      </c>
      <c r="P429" s="3">
        <v>0.05</v>
      </c>
      <c r="Q429" s="2">
        <v>45.120000000000005</v>
      </c>
      <c r="R429">
        <v>1</v>
      </c>
      <c r="S429" t="str">
        <f t="shared" si="6"/>
        <v>Agosto</v>
      </c>
    </row>
    <row r="430" spans="1:19" hidden="1" x14ac:dyDescent="0.3">
      <c r="A430">
        <v>429</v>
      </c>
      <c r="B430" s="1">
        <v>44060</v>
      </c>
      <c r="C430">
        <v>76</v>
      </c>
      <c r="D430" t="s">
        <v>91</v>
      </c>
      <c r="E430" t="s">
        <v>96</v>
      </c>
      <c r="F430">
        <v>37</v>
      </c>
      <c r="G430" s="2">
        <v>93</v>
      </c>
      <c r="H430" s="2">
        <v>3441</v>
      </c>
      <c r="I430" s="1">
        <v>0.06</v>
      </c>
      <c r="J430" s="2">
        <v>3234.54</v>
      </c>
      <c r="K430" s="1">
        <v>44088</v>
      </c>
      <c r="L430" s="1">
        <v>44088</v>
      </c>
      <c r="M430">
        <v>429</v>
      </c>
      <c r="N430">
        <v>1</v>
      </c>
      <c r="O430" t="s">
        <v>25</v>
      </c>
      <c r="P430" s="3">
        <v>0.1</v>
      </c>
      <c r="Q430" s="2">
        <v>323.45400000000001</v>
      </c>
      <c r="R430">
        <v>2</v>
      </c>
      <c r="S430" t="str">
        <f t="shared" si="6"/>
        <v>Agosto</v>
      </c>
    </row>
    <row r="431" spans="1:19" hidden="1" x14ac:dyDescent="0.3">
      <c r="A431">
        <v>430</v>
      </c>
      <c r="B431" s="1">
        <v>44061</v>
      </c>
      <c r="C431">
        <v>32</v>
      </c>
      <c r="D431" t="s">
        <v>64</v>
      </c>
      <c r="E431" t="s">
        <v>103</v>
      </c>
      <c r="F431">
        <v>25</v>
      </c>
      <c r="G431" s="2">
        <v>111</v>
      </c>
      <c r="H431" s="2">
        <v>2775</v>
      </c>
      <c r="I431" s="1">
        <v>7.0000000000000007E-2</v>
      </c>
      <c r="J431" s="2">
        <v>2580.75</v>
      </c>
      <c r="K431" s="1">
        <v>44090</v>
      </c>
      <c r="L431" s="1">
        <v>44090</v>
      </c>
      <c r="M431">
        <v>430</v>
      </c>
      <c r="N431">
        <v>4</v>
      </c>
      <c r="O431" t="s">
        <v>38</v>
      </c>
      <c r="P431" s="3">
        <v>0.05</v>
      </c>
      <c r="Q431" s="2">
        <v>129.03749999999999</v>
      </c>
      <c r="R431">
        <v>3</v>
      </c>
      <c r="S431" t="str">
        <f t="shared" si="6"/>
        <v>Agosto</v>
      </c>
    </row>
    <row r="432" spans="1:19" hidden="1" x14ac:dyDescent="0.3">
      <c r="A432">
        <v>431</v>
      </c>
      <c r="B432" s="1">
        <v>44061</v>
      </c>
      <c r="C432">
        <v>38</v>
      </c>
      <c r="D432" t="s">
        <v>60</v>
      </c>
      <c r="E432" t="s">
        <v>97</v>
      </c>
      <c r="F432">
        <v>25</v>
      </c>
      <c r="G432" s="2">
        <v>93</v>
      </c>
      <c r="H432" s="2">
        <v>2325</v>
      </c>
      <c r="I432" s="1">
        <v>0.04</v>
      </c>
      <c r="J432" s="2">
        <v>2232</v>
      </c>
      <c r="K432" s="1">
        <v>44077</v>
      </c>
      <c r="L432" s="1">
        <v>44077</v>
      </c>
      <c r="M432">
        <v>431</v>
      </c>
      <c r="N432">
        <v>7</v>
      </c>
      <c r="O432" t="s">
        <v>42</v>
      </c>
      <c r="P432" s="3">
        <v>0.05</v>
      </c>
      <c r="Q432" s="2">
        <v>111.60000000000001</v>
      </c>
      <c r="R432">
        <v>4</v>
      </c>
      <c r="S432" t="str">
        <f t="shared" si="6"/>
        <v>Agosto</v>
      </c>
    </row>
    <row r="433" spans="1:19" hidden="1" x14ac:dyDescent="0.3">
      <c r="A433">
        <v>432</v>
      </c>
      <c r="B433" s="1">
        <v>44062</v>
      </c>
      <c r="C433">
        <v>72</v>
      </c>
      <c r="D433" t="s">
        <v>31</v>
      </c>
      <c r="E433" t="s">
        <v>99</v>
      </c>
      <c r="F433">
        <v>28</v>
      </c>
      <c r="G433" s="2">
        <v>111</v>
      </c>
      <c r="H433" s="2">
        <v>3108</v>
      </c>
      <c r="I433" s="1">
        <v>0.04</v>
      </c>
      <c r="J433" s="2">
        <v>2983.68</v>
      </c>
      <c r="K433" s="1">
        <v>44087</v>
      </c>
      <c r="L433" s="1">
        <v>44087</v>
      </c>
      <c r="M433">
        <v>432</v>
      </c>
      <c r="N433">
        <v>2</v>
      </c>
      <c r="O433" t="s">
        <v>38</v>
      </c>
      <c r="P433" s="3">
        <v>0.08</v>
      </c>
      <c r="Q433" s="2">
        <v>238.6944</v>
      </c>
      <c r="R433">
        <v>5</v>
      </c>
      <c r="S433" t="str">
        <f t="shared" si="6"/>
        <v>Agosto</v>
      </c>
    </row>
    <row r="434" spans="1:19" hidden="1" x14ac:dyDescent="0.3">
      <c r="A434">
        <v>433</v>
      </c>
      <c r="B434" s="1">
        <v>44063</v>
      </c>
      <c r="C434">
        <v>38</v>
      </c>
      <c r="D434" t="s">
        <v>60</v>
      </c>
      <c r="E434" t="s">
        <v>95</v>
      </c>
      <c r="F434">
        <v>32</v>
      </c>
      <c r="G434" s="2">
        <v>90</v>
      </c>
      <c r="H434" s="2">
        <v>2880</v>
      </c>
      <c r="I434" s="1">
        <v>0.03</v>
      </c>
      <c r="J434" s="2">
        <v>2793.6</v>
      </c>
      <c r="K434" s="1">
        <v>44087</v>
      </c>
      <c r="L434" s="1">
        <v>44087</v>
      </c>
      <c r="M434">
        <v>433</v>
      </c>
      <c r="N434">
        <v>7</v>
      </c>
      <c r="O434" t="s">
        <v>38</v>
      </c>
      <c r="P434" s="3">
        <v>0.09</v>
      </c>
      <c r="Q434" s="2">
        <v>251.42399999999998</v>
      </c>
      <c r="R434">
        <v>6</v>
      </c>
      <c r="S434" t="str">
        <f t="shared" si="6"/>
        <v>Agosto</v>
      </c>
    </row>
    <row r="435" spans="1:19" hidden="1" x14ac:dyDescent="0.3">
      <c r="A435">
        <v>434</v>
      </c>
      <c r="B435" s="1">
        <v>44064</v>
      </c>
      <c r="C435">
        <v>84</v>
      </c>
      <c r="D435" t="s">
        <v>36</v>
      </c>
      <c r="E435" t="s">
        <v>95</v>
      </c>
      <c r="F435">
        <v>15</v>
      </c>
      <c r="G435" s="2">
        <v>112</v>
      </c>
      <c r="H435" s="2">
        <v>1680</v>
      </c>
      <c r="I435" s="1">
        <v>0.12</v>
      </c>
      <c r="J435" s="2">
        <v>1478.4</v>
      </c>
      <c r="K435" s="1">
        <v>44064</v>
      </c>
      <c r="L435" s="1">
        <v>44064</v>
      </c>
      <c r="M435">
        <v>434</v>
      </c>
      <c r="N435">
        <v>2</v>
      </c>
      <c r="O435" t="s">
        <v>27</v>
      </c>
      <c r="P435" s="3">
        <v>0.05</v>
      </c>
      <c r="Q435" s="2">
        <v>73.92</v>
      </c>
      <c r="R435">
        <v>7</v>
      </c>
      <c r="S435" t="str">
        <f t="shared" si="6"/>
        <v>Agosto</v>
      </c>
    </row>
    <row r="436" spans="1:19" x14ac:dyDescent="0.3">
      <c r="A436">
        <v>435</v>
      </c>
      <c r="B436" s="1">
        <v>44064</v>
      </c>
      <c r="C436">
        <v>95</v>
      </c>
      <c r="D436" t="s">
        <v>31</v>
      </c>
      <c r="E436" t="s">
        <v>96</v>
      </c>
      <c r="F436">
        <v>40</v>
      </c>
      <c r="G436" s="2">
        <v>120</v>
      </c>
      <c r="H436" s="2">
        <v>4800</v>
      </c>
      <c r="I436" s="1">
        <v>0.13</v>
      </c>
      <c r="J436" s="2">
        <v>4176</v>
      </c>
      <c r="K436" s="1">
        <v>44070</v>
      </c>
      <c r="L436" s="1">
        <v>44070</v>
      </c>
      <c r="M436">
        <v>435</v>
      </c>
      <c r="N436">
        <v>3</v>
      </c>
      <c r="O436" t="s">
        <v>35</v>
      </c>
      <c r="P436" s="3">
        <v>0.06</v>
      </c>
      <c r="Q436" s="2">
        <v>250.56</v>
      </c>
      <c r="R436">
        <v>1</v>
      </c>
      <c r="S436" t="str">
        <f t="shared" si="6"/>
        <v>Agosto</v>
      </c>
    </row>
    <row r="437" spans="1:19" hidden="1" x14ac:dyDescent="0.3">
      <c r="A437">
        <v>436</v>
      </c>
      <c r="B437" s="1">
        <v>44064</v>
      </c>
      <c r="C437">
        <v>71</v>
      </c>
      <c r="D437" t="s">
        <v>17</v>
      </c>
      <c r="E437" t="s">
        <v>99</v>
      </c>
      <c r="F437">
        <v>28</v>
      </c>
      <c r="G437" s="2">
        <v>91</v>
      </c>
      <c r="H437" s="2">
        <v>2548</v>
      </c>
      <c r="I437" s="1">
        <v>0.04</v>
      </c>
      <c r="J437" s="2">
        <v>2446.08</v>
      </c>
      <c r="K437" s="1">
        <v>44086</v>
      </c>
      <c r="L437" s="1">
        <v>44086</v>
      </c>
      <c r="M437">
        <v>436</v>
      </c>
      <c r="N437">
        <v>1</v>
      </c>
      <c r="O437" t="s">
        <v>42</v>
      </c>
      <c r="P437" s="3">
        <v>7.0000000000000007E-2</v>
      </c>
      <c r="Q437" s="2">
        <v>171.22560000000001</v>
      </c>
      <c r="R437">
        <v>2</v>
      </c>
      <c r="S437" t="str">
        <f t="shared" si="6"/>
        <v>Agosto</v>
      </c>
    </row>
    <row r="438" spans="1:19" hidden="1" x14ac:dyDescent="0.3">
      <c r="A438">
        <v>437</v>
      </c>
      <c r="B438" s="1">
        <v>44064</v>
      </c>
      <c r="C438">
        <v>31</v>
      </c>
      <c r="D438" t="s">
        <v>72</v>
      </c>
      <c r="E438" t="s">
        <v>100</v>
      </c>
      <c r="F438">
        <v>13</v>
      </c>
      <c r="G438" s="2">
        <v>114</v>
      </c>
      <c r="H438" s="2">
        <v>1482</v>
      </c>
      <c r="I438" s="1">
        <v>0.14000000000000001</v>
      </c>
      <c r="J438" s="2">
        <v>1274.52</v>
      </c>
      <c r="K438" s="1">
        <v>44076</v>
      </c>
      <c r="L438" s="1">
        <v>44076</v>
      </c>
      <c r="M438">
        <v>437</v>
      </c>
      <c r="N438">
        <v>4</v>
      </c>
      <c r="O438" t="s">
        <v>23</v>
      </c>
      <c r="P438" s="3">
        <v>7.0000000000000007E-2</v>
      </c>
      <c r="Q438" s="2">
        <v>89.216400000000007</v>
      </c>
      <c r="R438">
        <v>3</v>
      </c>
      <c r="S438" t="str">
        <f t="shared" si="6"/>
        <v>Agosto</v>
      </c>
    </row>
    <row r="439" spans="1:19" hidden="1" x14ac:dyDescent="0.3">
      <c r="A439">
        <v>438</v>
      </c>
      <c r="B439" s="1">
        <v>44065</v>
      </c>
      <c r="C439">
        <v>44</v>
      </c>
      <c r="D439" t="s">
        <v>58</v>
      </c>
      <c r="E439" t="s">
        <v>99</v>
      </c>
      <c r="F439">
        <v>28</v>
      </c>
      <c r="G439" s="2">
        <v>104</v>
      </c>
      <c r="H439" s="2">
        <v>2912</v>
      </c>
      <c r="I439" s="1">
        <v>0.12</v>
      </c>
      <c r="J439" s="2">
        <v>2562.56</v>
      </c>
      <c r="K439" s="1">
        <v>44086</v>
      </c>
      <c r="L439" s="1">
        <v>44086</v>
      </c>
      <c r="M439">
        <v>438</v>
      </c>
      <c r="N439">
        <v>2</v>
      </c>
      <c r="O439" t="s">
        <v>20</v>
      </c>
      <c r="P439" s="3">
        <v>0.08</v>
      </c>
      <c r="Q439" s="2">
        <v>205.00479999999999</v>
      </c>
      <c r="R439">
        <v>4</v>
      </c>
      <c r="S439" t="str">
        <f t="shared" si="6"/>
        <v>Agosto</v>
      </c>
    </row>
    <row r="440" spans="1:19" hidden="1" x14ac:dyDescent="0.3">
      <c r="A440">
        <v>439</v>
      </c>
      <c r="B440" s="1">
        <v>44065</v>
      </c>
      <c r="C440">
        <v>54</v>
      </c>
      <c r="D440" t="s">
        <v>66</v>
      </c>
      <c r="E440" t="s">
        <v>96</v>
      </c>
      <c r="F440">
        <v>16</v>
      </c>
      <c r="G440" s="2">
        <v>104</v>
      </c>
      <c r="H440" s="2">
        <v>1664</v>
      </c>
      <c r="I440" s="1">
        <v>0.15</v>
      </c>
      <c r="J440" s="2">
        <v>1414.4</v>
      </c>
      <c r="K440" s="1">
        <v>44086</v>
      </c>
      <c r="L440" s="1">
        <v>44086</v>
      </c>
      <c r="M440">
        <v>439</v>
      </c>
      <c r="N440">
        <v>4</v>
      </c>
      <c r="O440" t="s">
        <v>20</v>
      </c>
      <c r="P440" s="3">
        <v>0.1</v>
      </c>
      <c r="Q440" s="2">
        <v>141.44000000000003</v>
      </c>
      <c r="R440">
        <v>5</v>
      </c>
      <c r="S440" t="str">
        <f t="shared" si="6"/>
        <v>Agosto</v>
      </c>
    </row>
    <row r="441" spans="1:19" hidden="1" x14ac:dyDescent="0.3">
      <c r="A441">
        <v>440</v>
      </c>
      <c r="B441" s="1">
        <v>44066</v>
      </c>
      <c r="C441">
        <v>24</v>
      </c>
      <c r="D441" t="s">
        <v>61</v>
      </c>
      <c r="E441" t="s">
        <v>97</v>
      </c>
      <c r="F441">
        <v>35</v>
      </c>
      <c r="G441" s="2">
        <v>90</v>
      </c>
      <c r="H441" s="2">
        <v>3150</v>
      </c>
      <c r="I441" s="1">
        <v>0.01</v>
      </c>
      <c r="J441" s="2">
        <v>3118.5</v>
      </c>
      <c r="K441" s="1">
        <v>44076</v>
      </c>
      <c r="L441" s="1">
        <v>44076</v>
      </c>
      <c r="M441">
        <v>440</v>
      </c>
      <c r="N441">
        <v>2</v>
      </c>
      <c r="O441" t="s">
        <v>42</v>
      </c>
      <c r="P441" s="3">
        <v>0.05</v>
      </c>
      <c r="Q441" s="2">
        <v>155.92500000000001</v>
      </c>
      <c r="R441">
        <v>6</v>
      </c>
      <c r="S441" t="str">
        <f t="shared" si="6"/>
        <v>Agosto</v>
      </c>
    </row>
    <row r="442" spans="1:19" hidden="1" x14ac:dyDescent="0.3">
      <c r="A442">
        <v>441</v>
      </c>
      <c r="B442" s="1">
        <v>44066</v>
      </c>
      <c r="C442">
        <v>71</v>
      </c>
      <c r="D442" t="s">
        <v>17</v>
      </c>
      <c r="E442" t="s">
        <v>98</v>
      </c>
      <c r="F442">
        <v>21</v>
      </c>
      <c r="G442" s="2">
        <v>92</v>
      </c>
      <c r="H442" s="2">
        <v>1932</v>
      </c>
      <c r="I442" s="1">
        <v>0.12</v>
      </c>
      <c r="J442" s="2">
        <v>1700.16</v>
      </c>
      <c r="K442" s="1">
        <v>44079</v>
      </c>
      <c r="L442" s="1">
        <v>44079</v>
      </c>
      <c r="M442">
        <v>441</v>
      </c>
      <c r="N442">
        <v>3</v>
      </c>
      <c r="O442" t="s">
        <v>27</v>
      </c>
      <c r="P442" s="3">
        <v>0.08</v>
      </c>
      <c r="Q442" s="2">
        <v>136.0128</v>
      </c>
      <c r="R442">
        <v>7</v>
      </c>
      <c r="S442" t="str">
        <f t="shared" si="6"/>
        <v>Agosto</v>
      </c>
    </row>
    <row r="443" spans="1:19" hidden="1" x14ac:dyDescent="0.3">
      <c r="A443">
        <v>442</v>
      </c>
      <c r="B443" s="1">
        <v>44066</v>
      </c>
      <c r="C443">
        <v>30</v>
      </c>
      <c r="D443" t="s">
        <v>83</v>
      </c>
      <c r="E443" t="s">
        <v>95</v>
      </c>
      <c r="F443">
        <v>29</v>
      </c>
      <c r="G443" s="2">
        <v>95</v>
      </c>
      <c r="H443" s="2">
        <v>2755</v>
      </c>
      <c r="I443" s="1">
        <v>0.06</v>
      </c>
      <c r="J443" s="2">
        <v>2589.6999999999998</v>
      </c>
      <c r="K443" s="1">
        <v>44073</v>
      </c>
      <c r="L443" s="1">
        <v>44073</v>
      </c>
      <c r="M443">
        <v>442</v>
      </c>
      <c r="N443">
        <v>2</v>
      </c>
      <c r="O443" t="s">
        <v>56</v>
      </c>
      <c r="P443" s="3">
        <v>0.06</v>
      </c>
      <c r="Q443" s="2">
        <v>155.38199999999998</v>
      </c>
      <c r="R443">
        <v>1</v>
      </c>
      <c r="S443" t="str">
        <f t="shared" si="6"/>
        <v>Agosto</v>
      </c>
    </row>
    <row r="444" spans="1:19" hidden="1" x14ac:dyDescent="0.3">
      <c r="A444">
        <v>443</v>
      </c>
      <c r="B444" s="1">
        <v>44067</v>
      </c>
      <c r="C444">
        <v>62</v>
      </c>
      <c r="D444" t="s">
        <v>31</v>
      </c>
      <c r="E444" t="s">
        <v>95</v>
      </c>
      <c r="F444">
        <v>32</v>
      </c>
      <c r="G444" s="2">
        <v>113</v>
      </c>
      <c r="H444" s="2">
        <v>3616</v>
      </c>
      <c r="I444" s="1">
        <v>0.1</v>
      </c>
      <c r="J444" s="2">
        <v>3254.4</v>
      </c>
      <c r="K444" s="1">
        <v>44082</v>
      </c>
      <c r="L444" s="1">
        <v>44082</v>
      </c>
      <c r="M444">
        <v>443</v>
      </c>
      <c r="N444">
        <v>4</v>
      </c>
      <c r="O444" t="s">
        <v>20</v>
      </c>
      <c r="P444" s="3">
        <v>0.1</v>
      </c>
      <c r="Q444" s="2">
        <v>325.44000000000005</v>
      </c>
      <c r="R444">
        <v>2</v>
      </c>
      <c r="S444" t="str">
        <f t="shared" si="6"/>
        <v>Agosto</v>
      </c>
    </row>
    <row r="445" spans="1:19" x14ac:dyDescent="0.3">
      <c r="A445">
        <v>444</v>
      </c>
      <c r="B445" s="1">
        <v>44068</v>
      </c>
      <c r="C445">
        <v>100</v>
      </c>
      <c r="D445" t="s">
        <v>31</v>
      </c>
      <c r="E445" t="s">
        <v>95</v>
      </c>
      <c r="F445">
        <v>14</v>
      </c>
      <c r="G445" s="2">
        <v>102</v>
      </c>
      <c r="H445" s="2">
        <v>1428</v>
      </c>
      <c r="I445" s="1">
        <v>0.08</v>
      </c>
      <c r="J445" s="2">
        <v>1313.76</v>
      </c>
      <c r="K445" s="1">
        <v>44078</v>
      </c>
      <c r="L445" s="1">
        <v>44078</v>
      </c>
      <c r="M445">
        <v>444</v>
      </c>
      <c r="N445">
        <v>1</v>
      </c>
      <c r="O445" t="s">
        <v>35</v>
      </c>
      <c r="P445" s="3">
        <v>0.1</v>
      </c>
      <c r="Q445" s="2">
        <v>131.376</v>
      </c>
      <c r="R445">
        <v>3</v>
      </c>
      <c r="S445" t="str">
        <f t="shared" si="6"/>
        <v>Agosto</v>
      </c>
    </row>
    <row r="446" spans="1:19" hidden="1" x14ac:dyDescent="0.3">
      <c r="A446">
        <v>445</v>
      </c>
      <c r="B446" s="1">
        <v>44068</v>
      </c>
      <c r="C446">
        <v>84</v>
      </c>
      <c r="D446" t="s">
        <v>36</v>
      </c>
      <c r="E446" t="s">
        <v>98</v>
      </c>
      <c r="F446">
        <v>15</v>
      </c>
      <c r="G446" s="2">
        <v>111</v>
      </c>
      <c r="H446" s="2">
        <v>1665</v>
      </c>
      <c r="I446" s="1">
        <v>0.13</v>
      </c>
      <c r="J446" s="2">
        <v>1448.55</v>
      </c>
      <c r="K446" s="1">
        <v>44085</v>
      </c>
      <c r="L446" s="1">
        <v>44085</v>
      </c>
      <c r="M446">
        <v>445</v>
      </c>
      <c r="N446">
        <v>7</v>
      </c>
      <c r="O446" t="s">
        <v>30</v>
      </c>
      <c r="P446" s="3">
        <v>0.08</v>
      </c>
      <c r="Q446" s="2">
        <v>115.884</v>
      </c>
      <c r="R446">
        <v>4</v>
      </c>
      <c r="S446" t="str">
        <f t="shared" si="6"/>
        <v>Agosto</v>
      </c>
    </row>
    <row r="447" spans="1:19" hidden="1" x14ac:dyDescent="0.3">
      <c r="A447">
        <v>446</v>
      </c>
      <c r="B447" s="1">
        <v>44068</v>
      </c>
      <c r="C447">
        <v>63</v>
      </c>
      <c r="D447" t="s">
        <v>67</v>
      </c>
      <c r="E447" t="s">
        <v>96</v>
      </c>
      <c r="F447">
        <v>39</v>
      </c>
      <c r="G447" s="2">
        <v>102</v>
      </c>
      <c r="H447" s="2">
        <v>3978</v>
      </c>
      <c r="I447" s="1">
        <v>0</v>
      </c>
      <c r="J447" s="2">
        <v>3978</v>
      </c>
      <c r="K447" s="1">
        <v>44092</v>
      </c>
      <c r="L447" s="1">
        <v>44092</v>
      </c>
      <c r="M447">
        <v>446</v>
      </c>
      <c r="N447">
        <v>3</v>
      </c>
      <c r="O447" t="s">
        <v>25</v>
      </c>
      <c r="P447" s="3">
        <v>0.09</v>
      </c>
      <c r="Q447" s="2">
        <v>358.02</v>
      </c>
      <c r="R447">
        <v>5</v>
      </c>
      <c r="S447" t="str">
        <f t="shared" si="6"/>
        <v>Agosto</v>
      </c>
    </row>
    <row r="448" spans="1:19" hidden="1" x14ac:dyDescent="0.3">
      <c r="A448">
        <v>447</v>
      </c>
      <c r="B448" s="1">
        <v>44069</v>
      </c>
      <c r="C448">
        <v>81</v>
      </c>
      <c r="D448" t="s">
        <v>90</v>
      </c>
      <c r="E448" t="s">
        <v>98</v>
      </c>
      <c r="F448">
        <v>20</v>
      </c>
      <c r="G448" s="2">
        <v>112</v>
      </c>
      <c r="H448" s="2">
        <v>2240</v>
      </c>
      <c r="I448" s="1">
        <v>0.14000000000000001</v>
      </c>
      <c r="J448" s="2">
        <v>1926.4</v>
      </c>
      <c r="K448" s="1">
        <v>44093</v>
      </c>
      <c r="L448" s="1">
        <v>44093</v>
      </c>
      <c r="M448">
        <v>447</v>
      </c>
      <c r="N448">
        <v>6</v>
      </c>
      <c r="O448" t="s">
        <v>25</v>
      </c>
      <c r="P448" s="3">
        <v>0.06</v>
      </c>
      <c r="Q448" s="2">
        <v>115.584</v>
      </c>
      <c r="R448">
        <v>6</v>
      </c>
      <c r="S448" t="str">
        <f t="shared" si="6"/>
        <v>Agosto</v>
      </c>
    </row>
    <row r="449" spans="1:19" hidden="1" x14ac:dyDescent="0.3">
      <c r="A449">
        <v>448</v>
      </c>
      <c r="B449" s="1">
        <v>44069</v>
      </c>
      <c r="C449">
        <v>43</v>
      </c>
      <c r="D449" t="s">
        <v>86</v>
      </c>
      <c r="E449" t="s">
        <v>95</v>
      </c>
      <c r="F449">
        <v>37</v>
      </c>
      <c r="G449" s="2">
        <v>107</v>
      </c>
      <c r="H449" s="2">
        <v>3959</v>
      </c>
      <c r="I449" s="1">
        <v>0.01</v>
      </c>
      <c r="J449" s="2">
        <v>3919.41</v>
      </c>
      <c r="K449" s="1">
        <v>44084</v>
      </c>
      <c r="L449" s="1">
        <v>44084</v>
      </c>
      <c r="M449">
        <v>448</v>
      </c>
      <c r="N449">
        <v>5</v>
      </c>
      <c r="O449" t="s">
        <v>27</v>
      </c>
      <c r="P449" s="3">
        <v>7.0000000000000007E-2</v>
      </c>
      <c r="Q449" s="2">
        <v>274.3587</v>
      </c>
      <c r="R449">
        <v>7</v>
      </c>
      <c r="S449" t="str">
        <f t="shared" si="6"/>
        <v>Agosto</v>
      </c>
    </row>
    <row r="450" spans="1:19" hidden="1" x14ac:dyDescent="0.3">
      <c r="A450">
        <v>449</v>
      </c>
      <c r="B450" s="1">
        <v>44070</v>
      </c>
      <c r="C450">
        <v>7</v>
      </c>
      <c r="D450" t="s">
        <v>89</v>
      </c>
      <c r="E450" t="s">
        <v>100</v>
      </c>
      <c r="F450">
        <v>42</v>
      </c>
      <c r="G450" s="2">
        <v>113</v>
      </c>
      <c r="H450" s="2">
        <v>4746</v>
      </c>
      <c r="I450" s="1">
        <v>0.12</v>
      </c>
      <c r="J450" s="2">
        <v>4176.4799999999996</v>
      </c>
      <c r="K450" s="1">
        <v>44087</v>
      </c>
      <c r="L450" s="1">
        <v>44087</v>
      </c>
      <c r="M450">
        <v>449</v>
      </c>
      <c r="N450">
        <v>1</v>
      </c>
      <c r="O450" t="s">
        <v>23</v>
      </c>
      <c r="P450" s="3">
        <v>0.08</v>
      </c>
      <c r="Q450" s="2">
        <v>334.11839999999995</v>
      </c>
      <c r="R450">
        <v>1</v>
      </c>
      <c r="S450" t="str">
        <f t="shared" si="6"/>
        <v>Agosto</v>
      </c>
    </row>
    <row r="451" spans="1:19" x14ac:dyDescent="0.3">
      <c r="A451">
        <v>450</v>
      </c>
      <c r="B451" s="1">
        <v>44070</v>
      </c>
      <c r="C451">
        <v>66</v>
      </c>
      <c r="D451" t="s">
        <v>24</v>
      </c>
      <c r="E451" t="s">
        <v>103</v>
      </c>
      <c r="F451">
        <v>44</v>
      </c>
      <c r="G451" s="2">
        <v>109</v>
      </c>
      <c r="H451" s="2">
        <v>4796</v>
      </c>
      <c r="I451" s="1">
        <v>0.02</v>
      </c>
      <c r="J451" s="2">
        <v>4700.08</v>
      </c>
      <c r="K451" s="1">
        <v>44075</v>
      </c>
      <c r="L451" s="1">
        <v>44075</v>
      </c>
      <c r="M451">
        <v>450</v>
      </c>
      <c r="N451">
        <v>4</v>
      </c>
      <c r="O451" t="s">
        <v>35</v>
      </c>
      <c r="P451" s="3">
        <v>0.06</v>
      </c>
      <c r="Q451" s="2">
        <v>282.00479999999999</v>
      </c>
      <c r="R451">
        <v>2</v>
      </c>
      <c r="S451" t="str">
        <f t="shared" ref="S451:S514" si="7">PROPER(TEXT(B451,"mmmm"))</f>
        <v>Agosto</v>
      </c>
    </row>
    <row r="452" spans="1:19" hidden="1" x14ac:dyDescent="0.3">
      <c r="A452">
        <v>451</v>
      </c>
      <c r="B452" s="1">
        <v>44070</v>
      </c>
      <c r="C452">
        <v>76</v>
      </c>
      <c r="D452" t="s">
        <v>91</v>
      </c>
      <c r="E452" t="s">
        <v>97</v>
      </c>
      <c r="F452">
        <v>33</v>
      </c>
      <c r="G452" s="2">
        <v>97</v>
      </c>
      <c r="H452" s="2">
        <v>3201</v>
      </c>
      <c r="I452" s="1">
        <v>0.1</v>
      </c>
      <c r="J452" s="2">
        <v>2880.9</v>
      </c>
      <c r="K452" s="1">
        <v>44085</v>
      </c>
      <c r="L452" s="1">
        <v>44085</v>
      </c>
      <c r="M452">
        <v>451</v>
      </c>
      <c r="N452">
        <v>5</v>
      </c>
      <c r="O452" t="s">
        <v>25</v>
      </c>
      <c r="P452" s="3">
        <v>0.08</v>
      </c>
      <c r="Q452" s="2">
        <v>230.47200000000001</v>
      </c>
      <c r="R452">
        <v>3</v>
      </c>
      <c r="S452" t="str">
        <f t="shared" si="7"/>
        <v>Agosto</v>
      </c>
    </row>
    <row r="453" spans="1:19" hidden="1" x14ac:dyDescent="0.3">
      <c r="A453">
        <v>452</v>
      </c>
      <c r="B453" s="1">
        <v>44071</v>
      </c>
      <c r="C453">
        <v>37</v>
      </c>
      <c r="D453" t="s">
        <v>39</v>
      </c>
      <c r="E453" t="s">
        <v>95</v>
      </c>
      <c r="F453">
        <v>29</v>
      </c>
      <c r="G453" s="2">
        <v>116</v>
      </c>
      <c r="H453" s="2">
        <v>3364</v>
      </c>
      <c r="I453" s="1">
        <v>0</v>
      </c>
      <c r="J453" s="2">
        <v>3364</v>
      </c>
      <c r="K453" s="1">
        <v>44097</v>
      </c>
      <c r="L453" s="1">
        <v>44097</v>
      </c>
      <c r="M453">
        <v>452</v>
      </c>
      <c r="N453">
        <v>4</v>
      </c>
      <c r="O453" t="s">
        <v>23</v>
      </c>
      <c r="P453" s="3">
        <v>0.06</v>
      </c>
      <c r="Q453" s="2">
        <v>201.84</v>
      </c>
      <c r="R453">
        <v>4</v>
      </c>
      <c r="S453" t="str">
        <f t="shared" si="7"/>
        <v>Agosto</v>
      </c>
    </row>
    <row r="454" spans="1:19" hidden="1" x14ac:dyDescent="0.3">
      <c r="A454">
        <v>453</v>
      </c>
      <c r="B454" s="1">
        <v>44071</v>
      </c>
      <c r="C454">
        <v>13</v>
      </c>
      <c r="D454" t="s">
        <v>62</v>
      </c>
      <c r="E454" t="s">
        <v>101</v>
      </c>
      <c r="F454">
        <v>32</v>
      </c>
      <c r="G454" s="2">
        <v>108</v>
      </c>
      <c r="H454" s="2">
        <v>3456</v>
      </c>
      <c r="I454" s="1">
        <v>0.11</v>
      </c>
      <c r="J454" s="2">
        <v>3075.84</v>
      </c>
      <c r="K454" s="1">
        <v>44087</v>
      </c>
      <c r="L454" s="1">
        <v>44087</v>
      </c>
      <c r="M454">
        <v>453</v>
      </c>
      <c r="N454">
        <v>5</v>
      </c>
      <c r="O454" t="s">
        <v>23</v>
      </c>
      <c r="P454" s="3">
        <v>7.0000000000000007E-2</v>
      </c>
      <c r="Q454" s="2">
        <v>215.30880000000002</v>
      </c>
      <c r="R454">
        <v>5</v>
      </c>
      <c r="S454" t="str">
        <f t="shared" si="7"/>
        <v>Agosto</v>
      </c>
    </row>
    <row r="455" spans="1:19" x14ac:dyDescent="0.3">
      <c r="A455">
        <v>454</v>
      </c>
      <c r="B455" s="1">
        <v>44072</v>
      </c>
      <c r="C455">
        <v>30</v>
      </c>
      <c r="D455" t="s">
        <v>83</v>
      </c>
      <c r="E455" t="s">
        <v>104</v>
      </c>
      <c r="F455">
        <v>40</v>
      </c>
      <c r="G455" s="2">
        <v>106</v>
      </c>
      <c r="H455" s="2">
        <v>4240</v>
      </c>
      <c r="I455" s="1">
        <v>0.11</v>
      </c>
      <c r="J455" s="2">
        <v>3773.6</v>
      </c>
      <c r="K455" s="1">
        <v>44093</v>
      </c>
      <c r="L455" s="1">
        <v>44093</v>
      </c>
      <c r="M455">
        <v>454</v>
      </c>
      <c r="N455">
        <v>1</v>
      </c>
      <c r="O455" t="s">
        <v>35</v>
      </c>
      <c r="P455" s="3">
        <v>0.06</v>
      </c>
      <c r="Q455" s="2">
        <v>226.416</v>
      </c>
      <c r="R455">
        <v>6</v>
      </c>
      <c r="S455" t="str">
        <f t="shared" si="7"/>
        <v>Agosto</v>
      </c>
    </row>
    <row r="456" spans="1:19" hidden="1" x14ac:dyDescent="0.3">
      <c r="A456">
        <v>455</v>
      </c>
      <c r="B456" s="1">
        <v>44072</v>
      </c>
      <c r="C456">
        <v>52</v>
      </c>
      <c r="D456" t="s">
        <v>19</v>
      </c>
      <c r="E456" t="s">
        <v>100</v>
      </c>
      <c r="F456">
        <v>49</v>
      </c>
      <c r="G456" s="2">
        <v>92</v>
      </c>
      <c r="H456" s="2">
        <v>4508</v>
      </c>
      <c r="I456" s="1">
        <v>7.0000000000000007E-2</v>
      </c>
      <c r="J456" s="2">
        <v>4192.4399999999996</v>
      </c>
      <c r="K456" s="1">
        <v>44089</v>
      </c>
      <c r="L456" s="1">
        <v>44089</v>
      </c>
      <c r="M456">
        <v>455</v>
      </c>
      <c r="N456">
        <v>3</v>
      </c>
      <c r="O456" t="s">
        <v>42</v>
      </c>
      <c r="P456" s="3">
        <v>0.1</v>
      </c>
      <c r="Q456" s="2">
        <v>419.24399999999997</v>
      </c>
      <c r="R456">
        <v>7</v>
      </c>
      <c r="S456" t="str">
        <f t="shared" si="7"/>
        <v>Agosto</v>
      </c>
    </row>
    <row r="457" spans="1:19" hidden="1" x14ac:dyDescent="0.3">
      <c r="A457">
        <v>456</v>
      </c>
      <c r="B457" s="1">
        <v>44072</v>
      </c>
      <c r="C457">
        <v>3</v>
      </c>
      <c r="D457" t="s">
        <v>78</v>
      </c>
      <c r="E457" t="s">
        <v>96</v>
      </c>
      <c r="F457">
        <v>26</v>
      </c>
      <c r="G457" s="2">
        <v>93</v>
      </c>
      <c r="H457" s="2">
        <v>2418</v>
      </c>
      <c r="I457" s="1">
        <v>0.15</v>
      </c>
      <c r="J457" s="2">
        <v>2055.3000000000002</v>
      </c>
      <c r="K457" s="1">
        <v>44092</v>
      </c>
      <c r="L457" s="1">
        <v>44092</v>
      </c>
      <c r="M457">
        <v>456</v>
      </c>
      <c r="N457">
        <v>4</v>
      </c>
      <c r="O457" t="s">
        <v>18</v>
      </c>
      <c r="P457" s="3">
        <v>0.1</v>
      </c>
      <c r="Q457" s="2">
        <v>205.53000000000003</v>
      </c>
      <c r="R457">
        <v>1</v>
      </c>
      <c r="S457" t="str">
        <f t="shared" si="7"/>
        <v>Agosto</v>
      </c>
    </row>
    <row r="458" spans="1:19" hidden="1" x14ac:dyDescent="0.3">
      <c r="A458">
        <v>457</v>
      </c>
      <c r="B458" s="1">
        <v>44073</v>
      </c>
      <c r="C458">
        <v>37</v>
      </c>
      <c r="D458" t="s">
        <v>39</v>
      </c>
      <c r="E458" t="s">
        <v>96</v>
      </c>
      <c r="F458">
        <v>39</v>
      </c>
      <c r="G458" s="2">
        <v>96</v>
      </c>
      <c r="H458" s="2">
        <v>3744</v>
      </c>
      <c r="I458" s="1">
        <v>7.0000000000000007E-2</v>
      </c>
      <c r="J458" s="2">
        <v>3481.92</v>
      </c>
      <c r="K458" s="1">
        <v>44090</v>
      </c>
      <c r="L458" s="1">
        <v>44090</v>
      </c>
      <c r="M458">
        <v>457</v>
      </c>
      <c r="N458">
        <v>2</v>
      </c>
      <c r="O458" t="s">
        <v>30</v>
      </c>
      <c r="P458" s="3">
        <v>0.05</v>
      </c>
      <c r="Q458" s="2">
        <v>174.096</v>
      </c>
      <c r="R458">
        <v>2</v>
      </c>
      <c r="S458" t="str">
        <f t="shared" si="7"/>
        <v>Agosto</v>
      </c>
    </row>
    <row r="459" spans="1:19" hidden="1" x14ac:dyDescent="0.3">
      <c r="A459">
        <v>458</v>
      </c>
      <c r="B459" s="1">
        <v>44073</v>
      </c>
      <c r="C459">
        <v>23</v>
      </c>
      <c r="D459" t="s">
        <v>92</v>
      </c>
      <c r="E459" t="s">
        <v>98</v>
      </c>
      <c r="F459">
        <v>45</v>
      </c>
      <c r="G459" s="2">
        <v>114</v>
      </c>
      <c r="H459" s="2">
        <v>5130</v>
      </c>
      <c r="I459" s="1">
        <v>0.03</v>
      </c>
      <c r="J459" s="2">
        <v>4976.1000000000004</v>
      </c>
      <c r="K459" s="1">
        <v>44101</v>
      </c>
      <c r="L459" s="1">
        <v>44101</v>
      </c>
      <c r="M459">
        <v>458</v>
      </c>
      <c r="N459">
        <v>4</v>
      </c>
      <c r="O459" t="s">
        <v>25</v>
      </c>
      <c r="P459" s="3">
        <v>0.1</v>
      </c>
      <c r="Q459" s="2">
        <v>497.61000000000007</v>
      </c>
      <c r="R459">
        <v>3</v>
      </c>
      <c r="S459" t="str">
        <f t="shared" si="7"/>
        <v>Agosto</v>
      </c>
    </row>
    <row r="460" spans="1:19" hidden="1" x14ac:dyDescent="0.3">
      <c r="A460">
        <v>459</v>
      </c>
      <c r="B460" s="1">
        <v>44073</v>
      </c>
      <c r="C460">
        <v>7</v>
      </c>
      <c r="D460" t="s">
        <v>89</v>
      </c>
      <c r="E460" t="s">
        <v>104</v>
      </c>
      <c r="F460">
        <v>48</v>
      </c>
      <c r="G460" s="2">
        <v>100</v>
      </c>
      <c r="H460" s="2">
        <v>4800</v>
      </c>
      <c r="I460" s="1">
        <v>0.03</v>
      </c>
      <c r="J460" s="2">
        <v>4656</v>
      </c>
      <c r="K460" s="1">
        <v>44102</v>
      </c>
      <c r="L460" s="1">
        <v>44102</v>
      </c>
      <c r="M460">
        <v>459</v>
      </c>
      <c r="N460">
        <v>1</v>
      </c>
      <c r="O460" t="s">
        <v>56</v>
      </c>
      <c r="P460" s="3">
        <v>0.05</v>
      </c>
      <c r="Q460" s="2">
        <v>232.8</v>
      </c>
      <c r="R460">
        <v>4</v>
      </c>
      <c r="S460" t="str">
        <f t="shared" si="7"/>
        <v>Agosto</v>
      </c>
    </row>
    <row r="461" spans="1:19" hidden="1" x14ac:dyDescent="0.3">
      <c r="A461">
        <v>460</v>
      </c>
      <c r="B461" s="1">
        <v>44073</v>
      </c>
      <c r="C461">
        <v>87</v>
      </c>
      <c r="D461" t="s">
        <v>33</v>
      </c>
      <c r="E461" t="s">
        <v>98</v>
      </c>
      <c r="F461">
        <v>45</v>
      </c>
      <c r="G461" s="2">
        <v>109</v>
      </c>
      <c r="H461" s="2">
        <v>4905</v>
      </c>
      <c r="I461" s="1">
        <v>0.03</v>
      </c>
      <c r="J461" s="2">
        <v>4757.8500000000004</v>
      </c>
      <c r="K461" s="1">
        <v>44079</v>
      </c>
      <c r="L461" s="1">
        <v>44079</v>
      </c>
      <c r="M461">
        <v>460</v>
      </c>
      <c r="N461">
        <v>2</v>
      </c>
      <c r="O461" t="s">
        <v>38</v>
      </c>
      <c r="P461" s="3">
        <v>0.05</v>
      </c>
      <c r="Q461" s="2">
        <v>237.89250000000004</v>
      </c>
      <c r="R461">
        <v>5</v>
      </c>
      <c r="S461" t="str">
        <f t="shared" si="7"/>
        <v>Agosto</v>
      </c>
    </row>
    <row r="462" spans="1:19" x14ac:dyDescent="0.3">
      <c r="A462">
        <v>461</v>
      </c>
      <c r="B462" s="1">
        <v>44074</v>
      </c>
      <c r="C462">
        <v>98</v>
      </c>
      <c r="D462" t="s">
        <v>21</v>
      </c>
      <c r="E462" t="s">
        <v>99</v>
      </c>
      <c r="F462">
        <v>31</v>
      </c>
      <c r="G462" s="2">
        <v>99</v>
      </c>
      <c r="H462" s="2">
        <v>3069</v>
      </c>
      <c r="I462" s="1">
        <v>0.11</v>
      </c>
      <c r="J462" s="2">
        <v>2731.41</v>
      </c>
      <c r="K462" s="1">
        <v>44081</v>
      </c>
      <c r="L462" s="1">
        <v>44081</v>
      </c>
      <c r="M462">
        <v>461</v>
      </c>
      <c r="N462">
        <v>7</v>
      </c>
      <c r="O462" t="s">
        <v>35</v>
      </c>
      <c r="P462" s="3">
        <v>0.09</v>
      </c>
      <c r="Q462" s="2">
        <v>245.82689999999997</v>
      </c>
      <c r="R462">
        <v>6</v>
      </c>
      <c r="S462" t="str">
        <f t="shared" si="7"/>
        <v>Agosto</v>
      </c>
    </row>
    <row r="463" spans="1:19" hidden="1" x14ac:dyDescent="0.3">
      <c r="A463">
        <v>462</v>
      </c>
      <c r="B463" s="1">
        <v>44075</v>
      </c>
      <c r="C463">
        <v>41</v>
      </c>
      <c r="D463" t="s">
        <v>55</v>
      </c>
      <c r="E463" t="s">
        <v>101</v>
      </c>
      <c r="F463">
        <v>36</v>
      </c>
      <c r="G463" s="2">
        <v>108</v>
      </c>
      <c r="H463" s="2">
        <v>3888</v>
      </c>
      <c r="I463" s="1">
        <v>0.02</v>
      </c>
      <c r="J463" s="2">
        <v>3810.24</v>
      </c>
      <c r="K463" s="1">
        <v>44094</v>
      </c>
      <c r="L463" s="1">
        <v>44094</v>
      </c>
      <c r="M463">
        <v>462</v>
      </c>
      <c r="N463">
        <v>4</v>
      </c>
      <c r="O463" t="s">
        <v>25</v>
      </c>
      <c r="P463" s="3">
        <v>7.0000000000000007E-2</v>
      </c>
      <c r="Q463" s="2">
        <v>266.71680000000003</v>
      </c>
      <c r="R463">
        <v>7</v>
      </c>
      <c r="S463" t="str">
        <f t="shared" si="7"/>
        <v>Setembro</v>
      </c>
    </row>
    <row r="464" spans="1:19" hidden="1" x14ac:dyDescent="0.3">
      <c r="A464">
        <v>463</v>
      </c>
      <c r="B464" s="1">
        <v>44075</v>
      </c>
      <c r="C464">
        <v>51</v>
      </c>
      <c r="D464" t="s">
        <v>43</v>
      </c>
      <c r="E464" t="s">
        <v>98</v>
      </c>
      <c r="F464">
        <v>17</v>
      </c>
      <c r="G464" s="2">
        <v>99</v>
      </c>
      <c r="H464" s="2">
        <v>1683</v>
      </c>
      <c r="I464" s="1">
        <v>0.12</v>
      </c>
      <c r="J464" s="2">
        <v>1481.04</v>
      </c>
      <c r="K464" s="1">
        <v>44080</v>
      </c>
      <c r="L464" s="1">
        <v>44080</v>
      </c>
      <c r="M464">
        <v>463</v>
      </c>
      <c r="N464">
        <v>3</v>
      </c>
      <c r="O464" t="s">
        <v>25</v>
      </c>
      <c r="P464" s="3">
        <v>0.05</v>
      </c>
      <c r="Q464" s="2">
        <v>74.052000000000007</v>
      </c>
      <c r="R464">
        <v>1</v>
      </c>
      <c r="S464" t="str">
        <f t="shared" si="7"/>
        <v>Setembro</v>
      </c>
    </row>
    <row r="465" spans="1:19" hidden="1" x14ac:dyDescent="0.3">
      <c r="A465">
        <v>464</v>
      </c>
      <c r="B465" s="1">
        <v>44075</v>
      </c>
      <c r="C465">
        <v>10</v>
      </c>
      <c r="D465" t="s">
        <v>76</v>
      </c>
      <c r="E465" t="s">
        <v>95</v>
      </c>
      <c r="F465">
        <v>16</v>
      </c>
      <c r="G465" s="2">
        <v>114</v>
      </c>
      <c r="H465" s="2">
        <v>1824</v>
      </c>
      <c r="I465" s="1">
        <v>0.08</v>
      </c>
      <c r="J465" s="2">
        <v>1678.08</v>
      </c>
      <c r="K465" s="1">
        <v>44094</v>
      </c>
      <c r="L465" s="1">
        <v>44094</v>
      </c>
      <c r="M465">
        <v>464</v>
      </c>
      <c r="N465">
        <v>4</v>
      </c>
      <c r="O465" t="s">
        <v>42</v>
      </c>
      <c r="P465" s="3">
        <v>0.09</v>
      </c>
      <c r="Q465" s="2">
        <v>151.02719999999999</v>
      </c>
      <c r="R465">
        <v>2</v>
      </c>
      <c r="S465" t="str">
        <f t="shared" si="7"/>
        <v>Setembro</v>
      </c>
    </row>
    <row r="466" spans="1:19" hidden="1" x14ac:dyDescent="0.3">
      <c r="A466">
        <v>465</v>
      </c>
      <c r="B466" s="1">
        <v>44075</v>
      </c>
      <c r="C466">
        <v>96</v>
      </c>
      <c r="D466" t="s">
        <v>34</v>
      </c>
      <c r="E466" t="s">
        <v>104</v>
      </c>
      <c r="F466">
        <v>12</v>
      </c>
      <c r="G466" s="2">
        <v>91</v>
      </c>
      <c r="H466" s="2">
        <v>1092</v>
      </c>
      <c r="I466" s="1">
        <v>0.12</v>
      </c>
      <c r="J466" s="2">
        <v>960.96</v>
      </c>
      <c r="K466" s="1">
        <v>44079</v>
      </c>
      <c r="L466" s="1">
        <v>44079</v>
      </c>
      <c r="M466">
        <v>465</v>
      </c>
      <c r="N466">
        <v>4</v>
      </c>
      <c r="O466" t="s">
        <v>27</v>
      </c>
      <c r="P466" s="3">
        <v>0.08</v>
      </c>
      <c r="Q466" s="2">
        <v>76.876800000000003</v>
      </c>
      <c r="R466">
        <v>3</v>
      </c>
      <c r="S466" t="str">
        <f t="shared" si="7"/>
        <v>Setembro</v>
      </c>
    </row>
    <row r="467" spans="1:19" hidden="1" x14ac:dyDescent="0.3">
      <c r="A467">
        <v>466</v>
      </c>
      <c r="B467" s="1">
        <v>44076</v>
      </c>
      <c r="C467">
        <v>100</v>
      </c>
      <c r="D467" t="s">
        <v>31</v>
      </c>
      <c r="E467" t="s">
        <v>100</v>
      </c>
      <c r="F467">
        <v>28</v>
      </c>
      <c r="G467" s="2">
        <v>95</v>
      </c>
      <c r="H467" s="2">
        <v>2660</v>
      </c>
      <c r="I467" s="1">
        <v>0</v>
      </c>
      <c r="J467" s="2">
        <v>2660</v>
      </c>
      <c r="K467" s="1">
        <v>44099</v>
      </c>
      <c r="L467" s="1">
        <v>44099</v>
      </c>
      <c r="M467">
        <v>466</v>
      </c>
      <c r="N467">
        <v>4</v>
      </c>
      <c r="O467" t="s">
        <v>38</v>
      </c>
      <c r="P467" s="3">
        <v>0.06</v>
      </c>
      <c r="Q467" s="2">
        <v>159.6</v>
      </c>
      <c r="R467">
        <v>4</v>
      </c>
      <c r="S467" t="str">
        <f t="shared" si="7"/>
        <v>Setembro</v>
      </c>
    </row>
    <row r="468" spans="1:19" hidden="1" x14ac:dyDescent="0.3">
      <c r="A468">
        <v>467</v>
      </c>
      <c r="B468" s="1">
        <v>44076</v>
      </c>
      <c r="C468">
        <v>52</v>
      </c>
      <c r="D468" t="s">
        <v>19</v>
      </c>
      <c r="E468" t="s">
        <v>96</v>
      </c>
      <c r="F468">
        <v>34</v>
      </c>
      <c r="G468" s="2">
        <v>99</v>
      </c>
      <c r="H468" s="2">
        <v>3366</v>
      </c>
      <c r="I468" s="1">
        <v>0.11</v>
      </c>
      <c r="J468" s="2">
        <v>2995.74</v>
      </c>
      <c r="K468" s="1">
        <v>44082</v>
      </c>
      <c r="L468" s="1">
        <v>44082</v>
      </c>
      <c r="M468">
        <v>467</v>
      </c>
      <c r="N468">
        <v>4</v>
      </c>
      <c r="O468" t="s">
        <v>38</v>
      </c>
      <c r="P468" s="3">
        <v>0.05</v>
      </c>
      <c r="Q468" s="2">
        <v>149.78700000000001</v>
      </c>
      <c r="R468">
        <v>5</v>
      </c>
      <c r="S468" t="str">
        <f t="shared" si="7"/>
        <v>Setembro</v>
      </c>
    </row>
    <row r="469" spans="1:19" hidden="1" x14ac:dyDescent="0.3">
      <c r="A469">
        <v>468</v>
      </c>
      <c r="B469" s="1">
        <v>44077</v>
      </c>
      <c r="C469">
        <v>40</v>
      </c>
      <c r="D469" t="s">
        <v>40</v>
      </c>
      <c r="E469" t="s">
        <v>104</v>
      </c>
      <c r="F469">
        <v>48</v>
      </c>
      <c r="G469" s="2">
        <v>112</v>
      </c>
      <c r="H469" s="2">
        <v>5376</v>
      </c>
      <c r="I469" s="1">
        <v>0.01</v>
      </c>
      <c r="J469" s="2">
        <v>5322.24</v>
      </c>
      <c r="K469" s="1">
        <v>44107</v>
      </c>
      <c r="L469" s="1">
        <v>44107</v>
      </c>
      <c r="M469">
        <v>468</v>
      </c>
      <c r="N469">
        <v>4</v>
      </c>
      <c r="O469" t="s">
        <v>18</v>
      </c>
      <c r="P469" s="3">
        <v>0.05</v>
      </c>
      <c r="Q469" s="2">
        <v>266.11200000000002</v>
      </c>
      <c r="R469">
        <v>6</v>
      </c>
      <c r="S469" t="str">
        <f t="shared" si="7"/>
        <v>Setembro</v>
      </c>
    </row>
    <row r="470" spans="1:19" hidden="1" x14ac:dyDescent="0.3">
      <c r="A470">
        <v>469</v>
      </c>
      <c r="B470" s="1">
        <v>44077</v>
      </c>
      <c r="C470">
        <v>6</v>
      </c>
      <c r="D470" t="s">
        <v>75</v>
      </c>
      <c r="E470" t="s">
        <v>96</v>
      </c>
      <c r="F470">
        <v>45</v>
      </c>
      <c r="G470" s="2">
        <v>118</v>
      </c>
      <c r="H470" s="2">
        <v>5310</v>
      </c>
      <c r="I470" s="1">
        <v>0.01</v>
      </c>
      <c r="J470" s="2">
        <v>5256.9</v>
      </c>
      <c r="K470" s="1">
        <v>44080</v>
      </c>
      <c r="L470" s="1">
        <v>44080</v>
      </c>
      <c r="M470">
        <v>469</v>
      </c>
      <c r="N470">
        <v>4</v>
      </c>
      <c r="O470" t="s">
        <v>20</v>
      </c>
      <c r="P470" s="3">
        <v>0.05</v>
      </c>
      <c r="Q470" s="2">
        <v>262.84499999999997</v>
      </c>
      <c r="R470">
        <v>7</v>
      </c>
      <c r="S470" t="str">
        <f t="shared" si="7"/>
        <v>Setembro</v>
      </c>
    </row>
    <row r="471" spans="1:19" hidden="1" x14ac:dyDescent="0.3">
      <c r="A471">
        <v>470</v>
      </c>
      <c r="B471" s="1">
        <v>44079</v>
      </c>
      <c r="C471">
        <v>59</v>
      </c>
      <c r="D471" t="s">
        <v>84</v>
      </c>
      <c r="E471" t="s">
        <v>98</v>
      </c>
      <c r="F471">
        <v>19</v>
      </c>
      <c r="G471" s="2">
        <v>108</v>
      </c>
      <c r="H471" s="2">
        <v>2052</v>
      </c>
      <c r="I471" s="1">
        <v>0.09</v>
      </c>
      <c r="J471" s="2">
        <v>1867.32</v>
      </c>
      <c r="K471" s="1">
        <v>44097</v>
      </c>
      <c r="L471" s="1">
        <v>44097</v>
      </c>
      <c r="M471">
        <v>470</v>
      </c>
      <c r="N471">
        <v>3</v>
      </c>
      <c r="O471" t="s">
        <v>18</v>
      </c>
      <c r="P471" s="3">
        <v>7.0000000000000007E-2</v>
      </c>
      <c r="Q471" s="2">
        <v>130.7124</v>
      </c>
      <c r="R471">
        <v>1</v>
      </c>
      <c r="S471" t="str">
        <f t="shared" si="7"/>
        <v>Setembro</v>
      </c>
    </row>
    <row r="472" spans="1:19" hidden="1" x14ac:dyDescent="0.3">
      <c r="A472">
        <v>471</v>
      </c>
      <c r="B472" s="1">
        <v>44080</v>
      </c>
      <c r="C472">
        <v>20</v>
      </c>
      <c r="D472" t="s">
        <v>32</v>
      </c>
      <c r="E472" t="s">
        <v>97</v>
      </c>
      <c r="F472">
        <v>47</v>
      </c>
      <c r="G472" s="2">
        <v>91</v>
      </c>
      <c r="H472" s="2">
        <v>4277</v>
      </c>
      <c r="I472" s="1">
        <v>0.13</v>
      </c>
      <c r="J472" s="2">
        <v>3720.99</v>
      </c>
      <c r="K472" s="1">
        <v>44080</v>
      </c>
      <c r="L472" s="1">
        <v>44080</v>
      </c>
      <c r="M472">
        <v>471</v>
      </c>
      <c r="N472">
        <v>5</v>
      </c>
      <c r="O472" t="s">
        <v>20</v>
      </c>
      <c r="P472" s="3">
        <v>7.0000000000000007E-2</v>
      </c>
      <c r="Q472" s="2">
        <v>260.46930000000003</v>
      </c>
      <c r="R472">
        <v>2</v>
      </c>
      <c r="S472" t="str">
        <f t="shared" si="7"/>
        <v>Setembro</v>
      </c>
    </row>
    <row r="473" spans="1:19" hidden="1" x14ac:dyDescent="0.3">
      <c r="A473">
        <v>472</v>
      </c>
      <c r="B473" s="1">
        <v>44080</v>
      </c>
      <c r="C473">
        <v>49</v>
      </c>
      <c r="D473" t="s">
        <v>31</v>
      </c>
      <c r="E473" t="s">
        <v>100</v>
      </c>
      <c r="F473">
        <v>20</v>
      </c>
      <c r="G473" s="2">
        <v>100</v>
      </c>
      <c r="H473" s="2">
        <v>2000</v>
      </c>
      <c r="I473" s="1">
        <v>0.14000000000000001</v>
      </c>
      <c r="J473" s="2">
        <v>1720</v>
      </c>
      <c r="K473" s="1">
        <v>44102</v>
      </c>
      <c r="L473" s="1">
        <v>44102</v>
      </c>
      <c r="M473">
        <v>472</v>
      </c>
      <c r="N473">
        <v>4</v>
      </c>
      <c r="O473" t="s">
        <v>38</v>
      </c>
      <c r="P473" s="3">
        <v>0.09</v>
      </c>
      <c r="Q473" s="2">
        <v>154.79999999999998</v>
      </c>
      <c r="R473">
        <v>3</v>
      </c>
      <c r="S473" t="str">
        <f t="shared" si="7"/>
        <v>Setembro</v>
      </c>
    </row>
    <row r="474" spans="1:19" hidden="1" x14ac:dyDescent="0.3">
      <c r="A474">
        <v>473</v>
      </c>
      <c r="B474" s="1">
        <v>44081</v>
      </c>
      <c r="C474">
        <v>29</v>
      </c>
      <c r="D474" t="s">
        <v>85</v>
      </c>
      <c r="E474" t="s">
        <v>96</v>
      </c>
      <c r="F474">
        <v>37</v>
      </c>
      <c r="G474" s="2">
        <v>117</v>
      </c>
      <c r="H474" s="2">
        <v>4329</v>
      </c>
      <c r="I474" s="1">
        <v>0.11</v>
      </c>
      <c r="J474" s="2">
        <v>3852.81</v>
      </c>
      <c r="K474" s="1">
        <v>44097</v>
      </c>
      <c r="L474" s="1">
        <v>44097</v>
      </c>
      <c r="M474">
        <v>473</v>
      </c>
      <c r="N474">
        <v>4</v>
      </c>
      <c r="O474" t="s">
        <v>30</v>
      </c>
      <c r="P474" s="3">
        <v>7.0000000000000007E-2</v>
      </c>
      <c r="Q474" s="2">
        <v>269.69670000000002</v>
      </c>
      <c r="R474">
        <v>4</v>
      </c>
      <c r="S474" t="str">
        <f t="shared" si="7"/>
        <v>Setembro</v>
      </c>
    </row>
    <row r="475" spans="1:19" hidden="1" x14ac:dyDescent="0.3">
      <c r="A475">
        <v>474</v>
      </c>
      <c r="B475" s="1">
        <v>44082</v>
      </c>
      <c r="C475">
        <v>45</v>
      </c>
      <c r="D475" t="s">
        <v>31</v>
      </c>
      <c r="E475" t="s">
        <v>95</v>
      </c>
      <c r="F475">
        <v>49</v>
      </c>
      <c r="G475" s="2">
        <v>93</v>
      </c>
      <c r="H475" s="2">
        <v>4557</v>
      </c>
      <c r="I475" s="1">
        <v>0</v>
      </c>
      <c r="J475" s="2">
        <v>4557</v>
      </c>
      <c r="K475" s="1">
        <v>44103</v>
      </c>
      <c r="L475" s="1">
        <v>44103</v>
      </c>
      <c r="M475">
        <v>474</v>
      </c>
      <c r="N475">
        <v>4</v>
      </c>
      <c r="O475" t="s">
        <v>42</v>
      </c>
      <c r="P475" s="3">
        <v>0.1</v>
      </c>
      <c r="Q475" s="2">
        <v>455.70000000000005</v>
      </c>
      <c r="R475">
        <v>5</v>
      </c>
      <c r="S475" t="str">
        <f t="shared" si="7"/>
        <v>Setembro</v>
      </c>
    </row>
    <row r="476" spans="1:19" hidden="1" x14ac:dyDescent="0.3">
      <c r="A476">
        <v>475</v>
      </c>
      <c r="B476" s="1">
        <v>44083</v>
      </c>
      <c r="C476">
        <v>8</v>
      </c>
      <c r="D476" t="s">
        <v>31</v>
      </c>
      <c r="E476" t="s">
        <v>95</v>
      </c>
      <c r="F476">
        <v>21</v>
      </c>
      <c r="G476" s="2">
        <v>117</v>
      </c>
      <c r="H476" s="2">
        <v>2457</v>
      </c>
      <c r="I476" s="1">
        <v>0.12</v>
      </c>
      <c r="J476" s="2">
        <v>2162.16</v>
      </c>
      <c r="K476" s="1">
        <v>44098</v>
      </c>
      <c r="L476" s="1">
        <v>44098</v>
      </c>
      <c r="M476">
        <v>475</v>
      </c>
      <c r="N476">
        <v>4</v>
      </c>
      <c r="O476" t="s">
        <v>20</v>
      </c>
      <c r="P476" s="3">
        <v>0.08</v>
      </c>
      <c r="Q476" s="2">
        <v>172.97279999999998</v>
      </c>
      <c r="R476">
        <v>6</v>
      </c>
      <c r="S476" t="str">
        <f t="shared" si="7"/>
        <v>Setembro</v>
      </c>
    </row>
    <row r="477" spans="1:19" hidden="1" x14ac:dyDescent="0.3">
      <c r="A477">
        <v>476</v>
      </c>
      <c r="B477" s="1">
        <v>44083</v>
      </c>
      <c r="C477">
        <v>71</v>
      </c>
      <c r="D477" t="s">
        <v>17</v>
      </c>
      <c r="E477" t="s">
        <v>96</v>
      </c>
      <c r="F477">
        <v>27</v>
      </c>
      <c r="G477" s="2">
        <v>111</v>
      </c>
      <c r="H477" s="2">
        <v>2997</v>
      </c>
      <c r="I477" s="1">
        <v>0.15</v>
      </c>
      <c r="J477" s="2">
        <v>2547.4499999999998</v>
      </c>
      <c r="K477" s="1">
        <v>44103</v>
      </c>
      <c r="L477" s="1">
        <v>44103</v>
      </c>
      <c r="M477">
        <v>476</v>
      </c>
      <c r="N477">
        <v>7</v>
      </c>
      <c r="O477" t="s">
        <v>42</v>
      </c>
      <c r="P477" s="3">
        <v>0.05</v>
      </c>
      <c r="Q477" s="2">
        <v>127.3725</v>
      </c>
      <c r="R477">
        <v>7</v>
      </c>
      <c r="S477" t="str">
        <f t="shared" si="7"/>
        <v>Setembro</v>
      </c>
    </row>
    <row r="478" spans="1:19" hidden="1" x14ac:dyDescent="0.3">
      <c r="A478">
        <v>477</v>
      </c>
      <c r="B478" s="1">
        <v>44083</v>
      </c>
      <c r="C478">
        <v>17</v>
      </c>
      <c r="D478" t="s">
        <v>54</v>
      </c>
      <c r="E478" t="s">
        <v>98</v>
      </c>
      <c r="F478">
        <v>34</v>
      </c>
      <c r="G478" s="2">
        <v>98</v>
      </c>
      <c r="H478" s="2">
        <v>3332</v>
      </c>
      <c r="I478" s="1">
        <v>0.15</v>
      </c>
      <c r="J478" s="2">
        <v>2832.2</v>
      </c>
      <c r="K478" s="1">
        <v>44093</v>
      </c>
      <c r="L478" s="1">
        <v>44093</v>
      </c>
      <c r="M478">
        <v>477</v>
      </c>
      <c r="N478">
        <v>7</v>
      </c>
      <c r="O478" t="s">
        <v>38</v>
      </c>
      <c r="P478" s="3">
        <v>0.1</v>
      </c>
      <c r="Q478" s="2">
        <v>283.21999999999997</v>
      </c>
      <c r="R478">
        <v>1</v>
      </c>
      <c r="S478" t="str">
        <f t="shared" si="7"/>
        <v>Setembro</v>
      </c>
    </row>
    <row r="479" spans="1:19" hidden="1" x14ac:dyDescent="0.3">
      <c r="A479">
        <v>478</v>
      </c>
      <c r="B479" s="1">
        <v>44084</v>
      </c>
      <c r="C479">
        <v>22</v>
      </c>
      <c r="D479" t="s">
        <v>41</v>
      </c>
      <c r="E479" t="s">
        <v>99</v>
      </c>
      <c r="F479">
        <v>35</v>
      </c>
      <c r="G479" s="2">
        <v>118</v>
      </c>
      <c r="H479" s="2">
        <v>4130</v>
      </c>
      <c r="I479" s="1">
        <v>0.15</v>
      </c>
      <c r="J479" s="2">
        <v>3510.5</v>
      </c>
      <c r="K479" s="1">
        <v>44104</v>
      </c>
      <c r="L479" s="1">
        <v>44104</v>
      </c>
      <c r="M479">
        <v>478</v>
      </c>
      <c r="N479">
        <v>7</v>
      </c>
      <c r="O479" t="s">
        <v>38</v>
      </c>
      <c r="P479" s="3">
        <v>0.09</v>
      </c>
      <c r="Q479" s="2">
        <v>315.94499999999999</v>
      </c>
      <c r="R479">
        <v>2</v>
      </c>
      <c r="S479" t="str">
        <f t="shared" si="7"/>
        <v>Setembro</v>
      </c>
    </row>
    <row r="480" spans="1:19" hidden="1" x14ac:dyDescent="0.3">
      <c r="A480">
        <v>479</v>
      </c>
      <c r="B480" s="1">
        <v>44084</v>
      </c>
      <c r="C480">
        <v>3</v>
      </c>
      <c r="D480" t="s">
        <v>78</v>
      </c>
      <c r="E480" t="s">
        <v>98</v>
      </c>
      <c r="F480">
        <v>34</v>
      </c>
      <c r="G480" s="2">
        <v>96</v>
      </c>
      <c r="H480" s="2">
        <v>3264</v>
      </c>
      <c r="I480" s="1">
        <v>0.1</v>
      </c>
      <c r="J480" s="2">
        <v>2937.6</v>
      </c>
      <c r="K480" s="1">
        <v>44091</v>
      </c>
      <c r="L480" s="1">
        <v>44091</v>
      </c>
      <c r="M480">
        <v>479</v>
      </c>
      <c r="N480">
        <v>7</v>
      </c>
      <c r="O480" t="s">
        <v>18</v>
      </c>
      <c r="P480" s="3">
        <v>0.1</v>
      </c>
      <c r="Q480" s="2">
        <v>293.76</v>
      </c>
      <c r="R480">
        <v>3</v>
      </c>
      <c r="S480" t="str">
        <f t="shared" si="7"/>
        <v>Setembro</v>
      </c>
    </row>
    <row r="481" spans="1:19" hidden="1" x14ac:dyDescent="0.3">
      <c r="A481">
        <v>480</v>
      </c>
      <c r="B481" s="1">
        <v>44085</v>
      </c>
      <c r="C481">
        <v>19</v>
      </c>
      <c r="D481" t="s">
        <v>31</v>
      </c>
      <c r="E481" t="s">
        <v>96</v>
      </c>
      <c r="F481">
        <v>12</v>
      </c>
      <c r="G481" s="2">
        <v>106</v>
      </c>
      <c r="H481" s="2">
        <v>1272</v>
      </c>
      <c r="I481" s="1">
        <v>0.12</v>
      </c>
      <c r="J481" s="2">
        <v>1119.3600000000001</v>
      </c>
      <c r="K481" s="1">
        <v>44115</v>
      </c>
      <c r="L481" s="1">
        <v>44115</v>
      </c>
      <c r="M481">
        <v>480</v>
      </c>
      <c r="N481">
        <v>1</v>
      </c>
      <c r="O481" t="s">
        <v>30</v>
      </c>
      <c r="P481" s="3">
        <v>0.1</v>
      </c>
      <c r="Q481" s="2">
        <v>111.93600000000002</v>
      </c>
      <c r="R481">
        <v>4</v>
      </c>
      <c r="S481" t="str">
        <f t="shared" si="7"/>
        <v>Setembro</v>
      </c>
    </row>
    <row r="482" spans="1:19" hidden="1" x14ac:dyDescent="0.3">
      <c r="A482">
        <v>481</v>
      </c>
      <c r="B482" s="1">
        <v>44085</v>
      </c>
      <c r="C482">
        <v>18</v>
      </c>
      <c r="D482" t="s">
        <v>70</v>
      </c>
      <c r="E482" t="s">
        <v>99</v>
      </c>
      <c r="F482">
        <v>46</v>
      </c>
      <c r="G482" s="2">
        <v>105</v>
      </c>
      <c r="H482" s="2">
        <v>4830</v>
      </c>
      <c r="I482" s="1">
        <v>0.06</v>
      </c>
      <c r="J482" s="2">
        <v>4540.2</v>
      </c>
      <c r="K482" s="1">
        <v>44114</v>
      </c>
      <c r="L482" s="1">
        <v>44114</v>
      </c>
      <c r="M482">
        <v>481</v>
      </c>
      <c r="N482">
        <v>1</v>
      </c>
      <c r="O482" t="s">
        <v>30</v>
      </c>
      <c r="P482" s="3">
        <v>7.0000000000000007E-2</v>
      </c>
      <c r="Q482" s="2">
        <v>317.81400000000002</v>
      </c>
      <c r="R482">
        <v>5</v>
      </c>
      <c r="S482" t="str">
        <f t="shared" si="7"/>
        <v>Setembro</v>
      </c>
    </row>
    <row r="483" spans="1:19" x14ac:dyDescent="0.3">
      <c r="A483">
        <v>482</v>
      </c>
      <c r="B483" s="1">
        <v>44086</v>
      </c>
      <c r="C483">
        <v>27</v>
      </c>
      <c r="D483" t="s">
        <v>88</v>
      </c>
      <c r="E483" t="s">
        <v>102</v>
      </c>
      <c r="F483">
        <v>42</v>
      </c>
      <c r="G483" s="2">
        <v>95</v>
      </c>
      <c r="H483" s="2">
        <v>3990</v>
      </c>
      <c r="I483" s="1">
        <v>0.02</v>
      </c>
      <c r="J483" s="2">
        <v>3910.2</v>
      </c>
      <c r="K483" s="1">
        <v>44095</v>
      </c>
      <c r="L483" s="1">
        <v>44095</v>
      </c>
      <c r="M483">
        <v>482</v>
      </c>
      <c r="N483">
        <v>4</v>
      </c>
      <c r="O483" t="s">
        <v>35</v>
      </c>
      <c r="P483" s="3">
        <v>0.05</v>
      </c>
      <c r="Q483" s="2">
        <v>195.51</v>
      </c>
      <c r="R483">
        <v>6</v>
      </c>
      <c r="S483" t="str">
        <f t="shared" si="7"/>
        <v>Setembro</v>
      </c>
    </row>
    <row r="484" spans="1:19" hidden="1" x14ac:dyDescent="0.3">
      <c r="A484">
        <v>483</v>
      </c>
      <c r="B484" s="1">
        <v>44086</v>
      </c>
      <c r="C484">
        <v>61</v>
      </c>
      <c r="D484" t="s">
        <v>44</v>
      </c>
      <c r="E484" t="s">
        <v>97</v>
      </c>
      <c r="F484">
        <v>36</v>
      </c>
      <c r="G484" s="2">
        <v>104</v>
      </c>
      <c r="H484" s="2">
        <v>3744</v>
      </c>
      <c r="I484" s="1">
        <v>0.13</v>
      </c>
      <c r="J484" s="2">
        <v>3257.2799999999997</v>
      </c>
      <c r="K484" s="1">
        <v>44097</v>
      </c>
      <c r="L484" s="1">
        <v>44097</v>
      </c>
      <c r="M484">
        <v>483</v>
      </c>
      <c r="N484">
        <v>6</v>
      </c>
      <c r="O484" t="s">
        <v>20</v>
      </c>
      <c r="P484" s="3">
        <v>0.09</v>
      </c>
      <c r="Q484" s="2">
        <v>293.15519999999998</v>
      </c>
      <c r="R484">
        <v>7</v>
      </c>
      <c r="S484" t="str">
        <f t="shared" si="7"/>
        <v>Setembro</v>
      </c>
    </row>
    <row r="485" spans="1:19" hidden="1" x14ac:dyDescent="0.3">
      <c r="A485">
        <v>484</v>
      </c>
      <c r="B485" s="1">
        <v>44086</v>
      </c>
      <c r="C485">
        <v>72</v>
      </c>
      <c r="D485" t="s">
        <v>31</v>
      </c>
      <c r="E485" t="s">
        <v>99</v>
      </c>
      <c r="F485">
        <v>24</v>
      </c>
      <c r="G485" s="2">
        <v>112</v>
      </c>
      <c r="H485" s="2">
        <v>2688</v>
      </c>
      <c r="I485" s="1">
        <v>7.0000000000000007E-2</v>
      </c>
      <c r="J485" s="2">
        <v>2499.84</v>
      </c>
      <c r="K485" s="1">
        <v>44109</v>
      </c>
      <c r="L485" s="1">
        <v>44109</v>
      </c>
      <c r="M485">
        <v>484</v>
      </c>
      <c r="N485">
        <v>7</v>
      </c>
      <c r="O485" t="s">
        <v>25</v>
      </c>
      <c r="P485" s="3">
        <v>0.08</v>
      </c>
      <c r="Q485" s="2">
        <v>199.98720000000003</v>
      </c>
      <c r="R485">
        <v>1</v>
      </c>
      <c r="S485" t="str">
        <f t="shared" si="7"/>
        <v>Setembro</v>
      </c>
    </row>
    <row r="486" spans="1:19" hidden="1" x14ac:dyDescent="0.3">
      <c r="A486">
        <v>485</v>
      </c>
      <c r="B486" s="1">
        <v>44087</v>
      </c>
      <c r="C486">
        <v>77</v>
      </c>
      <c r="D486" t="s">
        <v>52</v>
      </c>
      <c r="E486" t="s">
        <v>97</v>
      </c>
      <c r="F486">
        <v>11</v>
      </c>
      <c r="G486" s="2">
        <v>90</v>
      </c>
      <c r="H486" s="2">
        <v>990</v>
      </c>
      <c r="I486" s="1">
        <v>0.08</v>
      </c>
      <c r="J486" s="2">
        <v>910.8</v>
      </c>
      <c r="K486" s="1">
        <v>44102</v>
      </c>
      <c r="L486" s="1">
        <v>44102</v>
      </c>
      <c r="M486">
        <v>485</v>
      </c>
      <c r="N486">
        <v>5</v>
      </c>
      <c r="O486" t="s">
        <v>27</v>
      </c>
      <c r="P486" s="3">
        <v>0.09</v>
      </c>
      <c r="Q486" s="2">
        <v>81.971999999999994</v>
      </c>
      <c r="R486">
        <v>2</v>
      </c>
      <c r="S486" t="str">
        <f t="shared" si="7"/>
        <v>Setembro</v>
      </c>
    </row>
    <row r="487" spans="1:19" hidden="1" x14ac:dyDescent="0.3">
      <c r="A487">
        <v>486</v>
      </c>
      <c r="B487" s="1">
        <v>44088</v>
      </c>
      <c r="C487">
        <v>77</v>
      </c>
      <c r="D487" t="s">
        <v>52</v>
      </c>
      <c r="E487" t="s">
        <v>95</v>
      </c>
      <c r="F487">
        <v>44</v>
      </c>
      <c r="G487" s="2">
        <v>98</v>
      </c>
      <c r="H487" s="2">
        <v>4312</v>
      </c>
      <c r="I487" s="1">
        <v>0.13</v>
      </c>
      <c r="J487" s="2">
        <v>3751.44</v>
      </c>
      <c r="K487" s="1">
        <v>44106</v>
      </c>
      <c r="L487" s="1">
        <v>44106</v>
      </c>
      <c r="M487">
        <v>486</v>
      </c>
      <c r="N487">
        <v>4</v>
      </c>
      <c r="O487" t="s">
        <v>38</v>
      </c>
      <c r="P487" s="3">
        <v>0.05</v>
      </c>
      <c r="Q487" s="2">
        <v>187.572</v>
      </c>
      <c r="R487">
        <v>3</v>
      </c>
      <c r="S487" t="str">
        <f t="shared" si="7"/>
        <v>Setembro</v>
      </c>
    </row>
    <row r="488" spans="1:19" hidden="1" x14ac:dyDescent="0.3">
      <c r="A488">
        <v>487</v>
      </c>
      <c r="B488" s="1">
        <v>44088</v>
      </c>
      <c r="C488">
        <v>70</v>
      </c>
      <c r="D488" t="s">
        <v>54</v>
      </c>
      <c r="E488" t="s">
        <v>96</v>
      </c>
      <c r="F488">
        <v>41</v>
      </c>
      <c r="G488" s="2">
        <v>99</v>
      </c>
      <c r="H488" s="2">
        <v>4059</v>
      </c>
      <c r="I488" s="1">
        <v>0.01</v>
      </c>
      <c r="J488" s="2">
        <v>4018.41</v>
      </c>
      <c r="K488" s="1">
        <v>44109</v>
      </c>
      <c r="L488" s="1">
        <v>44109</v>
      </c>
      <c r="M488">
        <v>487</v>
      </c>
      <c r="N488">
        <v>1</v>
      </c>
      <c r="O488" t="s">
        <v>56</v>
      </c>
      <c r="P488" s="3">
        <v>0.08</v>
      </c>
      <c r="Q488" s="2">
        <v>321.47280000000001</v>
      </c>
      <c r="R488">
        <v>4</v>
      </c>
      <c r="S488" t="str">
        <f t="shared" si="7"/>
        <v>Setembro</v>
      </c>
    </row>
    <row r="489" spans="1:19" hidden="1" x14ac:dyDescent="0.3">
      <c r="A489">
        <v>488</v>
      </c>
      <c r="B489" s="1">
        <v>44088</v>
      </c>
      <c r="C489">
        <v>35</v>
      </c>
      <c r="D489" t="s">
        <v>31</v>
      </c>
      <c r="E489" t="s">
        <v>100</v>
      </c>
      <c r="F489">
        <v>45</v>
      </c>
      <c r="G489" s="2">
        <v>117</v>
      </c>
      <c r="H489" s="2">
        <v>5265</v>
      </c>
      <c r="I489" s="1">
        <v>0.09</v>
      </c>
      <c r="J489" s="2">
        <v>4791.1499999999996</v>
      </c>
      <c r="K489" s="1">
        <v>44108</v>
      </c>
      <c r="L489" s="1">
        <v>44108</v>
      </c>
      <c r="M489">
        <v>488</v>
      </c>
      <c r="N489">
        <v>2</v>
      </c>
      <c r="O489" t="s">
        <v>56</v>
      </c>
      <c r="P489" s="3">
        <v>0.1</v>
      </c>
      <c r="Q489" s="2">
        <v>479.11500000000001</v>
      </c>
      <c r="R489">
        <v>5</v>
      </c>
      <c r="S489" t="str">
        <f t="shared" si="7"/>
        <v>Setembro</v>
      </c>
    </row>
    <row r="490" spans="1:19" hidden="1" x14ac:dyDescent="0.3">
      <c r="A490">
        <v>489</v>
      </c>
      <c r="B490" s="1">
        <v>44089</v>
      </c>
      <c r="C490">
        <v>89</v>
      </c>
      <c r="D490" t="s">
        <v>40</v>
      </c>
      <c r="E490" t="s">
        <v>99</v>
      </c>
      <c r="F490">
        <v>21</v>
      </c>
      <c r="G490" s="2">
        <v>95</v>
      </c>
      <c r="H490" s="2">
        <v>1995</v>
      </c>
      <c r="I490" s="1">
        <v>0.01</v>
      </c>
      <c r="J490" s="2">
        <v>1975.05</v>
      </c>
      <c r="K490" s="1">
        <v>44113</v>
      </c>
      <c r="L490" s="1">
        <v>44113</v>
      </c>
      <c r="M490">
        <v>489</v>
      </c>
      <c r="N490">
        <v>3</v>
      </c>
      <c r="O490" t="s">
        <v>56</v>
      </c>
      <c r="P490" s="3">
        <v>0.08</v>
      </c>
      <c r="Q490" s="2">
        <v>158.00399999999999</v>
      </c>
      <c r="R490">
        <v>6</v>
      </c>
      <c r="S490" t="str">
        <f t="shared" si="7"/>
        <v>Setembro</v>
      </c>
    </row>
    <row r="491" spans="1:19" hidden="1" x14ac:dyDescent="0.3">
      <c r="A491">
        <v>490</v>
      </c>
      <c r="B491" s="1">
        <v>44090</v>
      </c>
      <c r="C491">
        <v>85</v>
      </c>
      <c r="D491" t="s">
        <v>45</v>
      </c>
      <c r="E491" t="s">
        <v>97</v>
      </c>
      <c r="F491">
        <v>17</v>
      </c>
      <c r="G491" s="2">
        <v>114</v>
      </c>
      <c r="H491" s="2">
        <v>1938</v>
      </c>
      <c r="I491" s="1">
        <v>0.06</v>
      </c>
      <c r="J491" s="2">
        <v>1821.72</v>
      </c>
      <c r="K491" s="1">
        <v>44093</v>
      </c>
      <c r="L491" s="1">
        <v>44093</v>
      </c>
      <c r="M491">
        <v>490</v>
      </c>
      <c r="N491">
        <v>6</v>
      </c>
      <c r="O491" t="s">
        <v>25</v>
      </c>
      <c r="P491" s="3">
        <v>0.1</v>
      </c>
      <c r="Q491" s="2">
        <v>182.17200000000003</v>
      </c>
      <c r="R491">
        <v>7</v>
      </c>
      <c r="S491" t="str">
        <f t="shared" si="7"/>
        <v>Setembro</v>
      </c>
    </row>
    <row r="492" spans="1:19" x14ac:dyDescent="0.3">
      <c r="A492">
        <v>491</v>
      </c>
      <c r="B492" s="1">
        <v>44091</v>
      </c>
      <c r="C492">
        <v>84</v>
      </c>
      <c r="D492" t="s">
        <v>36</v>
      </c>
      <c r="E492" t="s">
        <v>97</v>
      </c>
      <c r="F492">
        <v>44</v>
      </c>
      <c r="G492" s="2">
        <v>93</v>
      </c>
      <c r="H492" s="2">
        <v>4092</v>
      </c>
      <c r="I492" s="1">
        <v>0.13</v>
      </c>
      <c r="J492" s="2">
        <v>3560.04</v>
      </c>
      <c r="K492" s="1">
        <v>44113</v>
      </c>
      <c r="L492" s="1">
        <v>44113</v>
      </c>
      <c r="M492">
        <v>491</v>
      </c>
      <c r="N492">
        <v>5</v>
      </c>
      <c r="O492" t="s">
        <v>35</v>
      </c>
      <c r="P492" s="3">
        <v>0.1</v>
      </c>
      <c r="Q492" s="2">
        <v>356.00400000000002</v>
      </c>
      <c r="R492">
        <v>1</v>
      </c>
      <c r="S492" t="str">
        <f t="shared" si="7"/>
        <v>Setembro</v>
      </c>
    </row>
    <row r="493" spans="1:19" hidden="1" x14ac:dyDescent="0.3">
      <c r="A493">
        <v>492</v>
      </c>
      <c r="B493" s="1">
        <v>44091</v>
      </c>
      <c r="C493">
        <v>83</v>
      </c>
      <c r="D493" t="s">
        <v>87</v>
      </c>
      <c r="E493" t="s">
        <v>101</v>
      </c>
      <c r="F493">
        <v>16</v>
      </c>
      <c r="G493" s="2">
        <v>119</v>
      </c>
      <c r="H493" s="2">
        <v>1904</v>
      </c>
      <c r="I493" s="1">
        <v>0.02</v>
      </c>
      <c r="J493" s="2">
        <v>1865.92</v>
      </c>
      <c r="K493" s="1">
        <v>44094</v>
      </c>
      <c r="L493" s="1">
        <v>44094</v>
      </c>
      <c r="M493">
        <v>492</v>
      </c>
      <c r="N493">
        <v>5</v>
      </c>
      <c r="O493" t="s">
        <v>27</v>
      </c>
      <c r="P493" s="3">
        <v>0.1</v>
      </c>
      <c r="Q493" s="2">
        <v>186.59200000000001</v>
      </c>
      <c r="R493">
        <v>2</v>
      </c>
      <c r="S493" t="str">
        <f t="shared" si="7"/>
        <v>Setembro</v>
      </c>
    </row>
    <row r="494" spans="1:19" hidden="1" x14ac:dyDescent="0.3">
      <c r="A494">
        <v>493</v>
      </c>
      <c r="B494" s="1">
        <v>44092</v>
      </c>
      <c r="C494">
        <v>6</v>
      </c>
      <c r="D494" t="s">
        <v>75</v>
      </c>
      <c r="E494" t="s">
        <v>99</v>
      </c>
      <c r="F494">
        <v>49</v>
      </c>
      <c r="G494" s="2">
        <v>112</v>
      </c>
      <c r="H494" s="2">
        <v>5488</v>
      </c>
      <c r="I494" s="1">
        <v>0.01</v>
      </c>
      <c r="J494" s="2">
        <v>5433.12</v>
      </c>
      <c r="K494" s="1">
        <v>44111</v>
      </c>
      <c r="L494" s="1">
        <v>44111</v>
      </c>
      <c r="M494">
        <v>493</v>
      </c>
      <c r="N494">
        <v>5</v>
      </c>
      <c r="O494" t="s">
        <v>23</v>
      </c>
      <c r="P494" s="3">
        <v>0.05</v>
      </c>
      <c r="Q494" s="2">
        <v>271.65600000000001</v>
      </c>
      <c r="R494">
        <v>3</v>
      </c>
      <c r="S494" t="str">
        <f t="shared" si="7"/>
        <v>Setembro</v>
      </c>
    </row>
    <row r="495" spans="1:19" hidden="1" x14ac:dyDescent="0.3">
      <c r="A495">
        <v>494</v>
      </c>
      <c r="B495" s="1">
        <v>44092</v>
      </c>
      <c r="C495">
        <v>94</v>
      </c>
      <c r="D495" t="s">
        <v>40</v>
      </c>
      <c r="E495" t="s">
        <v>102</v>
      </c>
      <c r="F495">
        <v>33</v>
      </c>
      <c r="G495" s="2">
        <v>115</v>
      </c>
      <c r="H495" s="2">
        <v>3795</v>
      </c>
      <c r="I495" s="1">
        <v>0.02</v>
      </c>
      <c r="J495" s="2">
        <v>3719.1</v>
      </c>
      <c r="K495" s="1">
        <v>44117</v>
      </c>
      <c r="L495" s="1">
        <v>44117</v>
      </c>
      <c r="M495">
        <v>494</v>
      </c>
      <c r="N495">
        <v>7</v>
      </c>
      <c r="O495" t="s">
        <v>38</v>
      </c>
      <c r="P495" s="3">
        <v>0.1</v>
      </c>
      <c r="Q495" s="2">
        <v>371.91</v>
      </c>
      <c r="R495">
        <v>4</v>
      </c>
      <c r="S495" t="str">
        <f t="shared" si="7"/>
        <v>Setembro</v>
      </c>
    </row>
    <row r="496" spans="1:19" hidden="1" x14ac:dyDescent="0.3">
      <c r="A496">
        <v>495</v>
      </c>
      <c r="B496" s="1">
        <v>44093</v>
      </c>
      <c r="C496">
        <v>97</v>
      </c>
      <c r="D496" t="s">
        <v>53</v>
      </c>
      <c r="E496" t="s">
        <v>101</v>
      </c>
      <c r="F496">
        <v>33</v>
      </c>
      <c r="G496" s="2">
        <v>102</v>
      </c>
      <c r="H496" s="2">
        <v>3366</v>
      </c>
      <c r="I496" s="1">
        <v>0.14000000000000001</v>
      </c>
      <c r="J496" s="2">
        <v>2894.7599999999998</v>
      </c>
      <c r="K496" s="1">
        <v>44095</v>
      </c>
      <c r="L496" s="1">
        <v>44095</v>
      </c>
      <c r="M496">
        <v>495</v>
      </c>
      <c r="N496">
        <v>7</v>
      </c>
      <c r="O496" t="s">
        <v>38</v>
      </c>
      <c r="P496" s="3">
        <v>7.0000000000000007E-2</v>
      </c>
      <c r="Q496" s="2">
        <v>202.63320000000002</v>
      </c>
      <c r="R496">
        <v>5</v>
      </c>
      <c r="S496" t="str">
        <f t="shared" si="7"/>
        <v>Setembro</v>
      </c>
    </row>
    <row r="497" spans="1:19" hidden="1" x14ac:dyDescent="0.3">
      <c r="A497">
        <v>496</v>
      </c>
      <c r="B497" s="1">
        <v>44094</v>
      </c>
      <c r="C497">
        <v>74</v>
      </c>
      <c r="D497" t="s">
        <v>31</v>
      </c>
      <c r="E497" t="s">
        <v>103</v>
      </c>
      <c r="F497">
        <v>15</v>
      </c>
      <c r="G497" s="2">
        <v>116</v>
      </c>
      <c r="H497" s="2">
        <v>1740</v>
      </c>
      <c r="I497" s="1">
        <v>0.05</v>
      </c>
      <c r="J497" s="2">
        <v>1653</v>
      </c>
      <c r="K497" s="1">
        <v>44113</v>
      </c>
      <c r="L497" s="1">
        <v>44113</v>
      </c>
      <c r="M497">
        <v>496</v>
      </c>
      <c r="N497">
        <v>5</v>
      </c>
      <c r="O497" t="s">
        <v>38</v>
      </c>
      <c r="P497" s="3">
        <v>0.06</v>
      </c>
      <c r="Q497" s="2">
        <v>99.179999999999993</v>
      </c>
      <c r="R497">
        <v>6</v>
      </c>
      <c r="S497" t="str">
        <f t="shared" si="7"/>
        <v>Setembro</v>
      </c>
    </row>
    <row r="498" spans="1:19" hidden="1" x14ac:dyDescent="0.3">
      <c r="A498">
        <v>497</v>
      </c>
      <c r="B498" s="1">
        <v>44094</v>
      </c>
      <c r="C498">
        <v>89</v>
      </c>
      <c r="D498" t="s">
        <v>40</v>
      </c>
      <c r="E498" t="s">
        <v>99</v>
      </c>
      <c r="F498">
        <v>14</v>
      </c>
      <c r="G498" s="2">
        <v>113</v>
      </c>
      <c r="H498" s="2">
        <v>1582</v>
      </c>
      <c r="I498" s="1">
        <v>0.13</v>
      </c>
      <c r="J498" s="2">
        <v>1376.34</v>
      </c>
      <c r="K498" s="1">
        <v>44106</v>
      </c>
      <c r="L498" s="1">
        <v>44106</v>
      </c>
      <c r="M498">
        <v>497</v>
      </c>
      <c r="N498">
        <v>6</v>
      </c>
      <c r="O498" t="s">
        <v>56</v>
      </c>
      <c r="P498" s="3">
        <v>0.09</v>
      </c>
      <c r="Q498" s="2">
        <v>123.87059999999998</v>
      </c>
      <c r="R498">
        <v>7</v>
      </c>
      <c r="S498" t="str">
        <f t="shared" si="7"/>
        <v>Setembro</v>
      </c>
    </row>
    <row r="499" spans="1:19" hidden="1" x14ac:dyDescent="0.3">
      <c r="A499">
        <v>498</v>
      </c>
      <c r="B499" s="1">
        <v>44094</v>
      </c>
      <c r="C499">
        <v>55</v>
      </c>
      <c r="D499" t="s">
        <v>36</v>
      </c>
      <c r="E499" t="s">
        <v>96</v>
      </c>
      <c r="F499">
        <v>23</v>
      </c>
      <c r="G499" s="2">
        <v>100</v>
      </c>
      <c r="H499" s="2">
        <v>2300</v>
      </c>
      <c r="I499" s="1">
        <v>0.11</v>
      </c>
      <c r="J499" s="2">
        <v>2047</v>
      </c>
      <c r="K499" s="1">
        <v>44117</v>
      </c>
      <c r="L499" s="1">
        <v>44117</v>
      </c>
      <c r="M499">
        <v>498</v>
      </c>
      <c r="N499">
        <v>1</v>
      </c>
      <c r="O499" t="s">
        <v>38</v>
      </c>
      <c r="P499" s="3">
        <v>0.08</v>
      </c>
      <c r="Q499" s="2">
        <v>163.76</v>
      </c>
      <c r="R499">
        <v>1</v>
      </c>
      <c r="S499" t="str">
        <f t="shared" si="7"/>
        <v>Setembro</v>
      </c>
    </row>
    <row r="500" spans="1:19" hidden="1" x14ac:dyDescent="0.3">
      <c r="A500">
        <v>499</v>
      </c>
      <c r="B500" s="1">
        <v>44097</v>
      </c>
      <c r="C500">
        <v>2</v>
      </c>
      <c r="D500" t="s">
        <v>28</v>
      </c>
      <c r="E500" t="s">
        <v>97</v>
      </c>
      <c r="F500">
        <v>40</v>
      </c>
      <c r="G500" s="2">
        <v>93</v>
      </c>
      <c r="H500" s="2">
        <v>3720</v>
      </c>
      <c r="I500" s="1">
        <v>0.06</v>
      </c>
      <c r="J500" s="2">
        <v>3496.8</v>
      </c>
      <c r="K500" s="1">
        <v>44102</v>
      </c>
      <c r="L500" s="1">
        <v>44102</v>
      </c>
      <c r="M500">
        <v>499</v>
      </c>
      <c r="N500">
        <v>7</v>
      </c>
      <c r="O500" t="s">
        <v>20</v>
      </c>
      <c r="P500" s="3">
        <v>0.09</v>
      </c>
      <c r="Q500" s="2">
        <v>314.71199999999999</v>
      </c>
      <c r="R500">
        <v>2</v>
      </c>
      <c r="S500" t="str">
        <f t="shared" si="7"/>
        <v>Setembro</v>
      </c>
    </row>
    <row r="501" spans="1:19" hidden="1" x14ac:dyDescent="0.3">
      <c r="A501">
        <v>500</v>
      </c>
      <c r="B501" s="1">
        <v>44098</v>
      </c>
      <c r="C501">
        <v>67</v>
      </c>
      <c r="D501" t="s">
        <v>93</v>
      </c>
      <c r="E501" t="s">
        <v>102</v>
      </c>
      <c r="F501">
        <v>34</v>
      </c>
      <c r="G501" s="2">
        <v>114</v>
      </c>
      <c r="H501" s="2">
        <v>3876</v>
      </c>
      <c r="I501" s="1">
        <v>0.05</v>
      </c>
      <c r="J501" s="2">
        <v>3682.2</v>
      </c>
      <c r="K501" s="1">
        <v>44101</v>
      </c>
      <c r="L501" s="1">
        <v>44101</v>
      </c>
      <c r="M501">
        <v>500</v>
      </c>
      <c r="N501">
        <v>7</v>
      </c>
      <c r="O501" t="s">
        <v>38</v>
      </c>
      <c r="P501" s="3">
        <v>7.0000000000000007E-2</v>
      </c>
      <c r="Q501" s="2">
        <v>257.75400000000002</v>
      </c>
      <c r="R501">
        <v>3</v>
      </c>
      <c r="S501" t="str">
        <f t="shared" si="7"/>
        <v>Setembro</v>
      </c>
    </row>
    <row r="502" spans="1:19" x14ac:dyDescent="0.3">
      <c r="A502">
        <v>501</v>
      </c>
      <c r="B502" s="1">
        <v>44099</v>
      </c>
      <c r="C502">
        <v>6</v>
      </c>
      <c r="D502" t="s">
        <v>75</v>
      </c>
      <c r="E502" t="s">
        <v>99</v>
      </c>
      <c r="F502">
        <v>44</v>
      </c>
      <c r="G502" s="2">
        <v>96</v>
      </c>
      <c r="H502" s="2">
        <v>4224</v>
      </c>
      <c r="I502" s="1">
        <v>0.09</v>
      </c>
      <c r="J502" s="2">
        <v>3843.84</v>
      </c>
      <c r="K502" s="1">
        <v>44103</v>
      </c>
      <c r="L502" s="1">
        <v>44103</v>
      </c>
      <c r="M502">
        <v>501</v>
      </c>
      <c r="N502">
        <v>1</v>
      </c>
      <c r="O502" t="s">
        <v>35</v>
      </c>
      <c r="P502" s="3">
        <v>0.05</v>
      </c>
      <c r="Q502" s="2">
        <v>192.19200000000001</v>
      </c>
      <c r="R502">
        <v>4</v>
      </c>
      <c r="S502" t="str">
        <f t="shared" si="7"/>
        <v>Setembro</v>
      </c>
    </row>
    <row r="503" spans="1:19" hidden="1" x14ac:dyDescent="0.3">
      <c r="A503">
        <v>502</v>
      </c>
      <c r="B503" s="1">
        <v>44099</v>
      </c>
      <c r="C503">
        <v>97</v>
      </c>
      <c r="D503" t="s">
        <v>53</v>
      </c>
      <c r="E503" t="s">
        <v>96</v>
      </c>
      <c r="F503">
        <v>36</v>
      </c>
      <c r="G503" s="2">
        <v>98</v>
      </c>
      <c r="H503" s="2">
        <v>3528</v>
      </c>
      <c r="I503" s="1">
        <v>0.1</v>
      </c>
      <c r="J503" s="2">
        <v>3175.2</v>
      </c>
      <c r="K503" s="1">
        <v>44116</v>
      </c>
      <c r="L503" s="1">
        <v>44116</v>
      </c>
      <c r="M503">
        <v>502</v>
      </c>
      <c r="N503">
        <v>7</v>
      </c>
      <c r="O503" t="s">
        <v>23</v>
      </c>
      <c r="P503" s="3">
        <v>7.0000000000000007E-2</v>
      </c>
      <c r="Q503" s="2">
        <v>222.26400000000001</v>
      </c>
      <c r="R503">
        <v>5</v>
      </c>
      <c r="S503" t="str">
        <f t="shared" si="7"/>
        <v>Setembro</v>
      </c>
    </row>
    <row r="504" spans="1:19" hidden="1" x14ac:dyDescent="0.3">
      <c r="A504">
        <v>503</v>
      </c>
      <c r="B504" s="1">
        <v>44099</v>
      </c>
      <c r="C504">
        <v>27</v>
      </c>
      <c r="D504" t="s">
        <v>88</v>
      </c>
      <c r="E504" t="s">
        <v>103</v>
      </c>
      <c r="F504">
        <v>34</v>
      </c>
      <c r="G504" s="2">
        <v>116</v>
      </c>
      <c r="H504" s="2">
        <v>3944</v>
      </c>
      <c r="I504" s="1">
        <v>0</v>
      </c>
      <c r="J504" s="2">
        <v>3944</v>
      </c>
      <c r="K504" s="1">
        <v>44126</v>
      </c>
      <c r="L504" s="1">
        <v>44126</v>
      </c>
      <c r="M504">
        <v>503</v>
      </c>
      <c r="N504">
        <v>7</v>
      </c>
      <c r="O504" t="s">
        <v>38</v>
      </c>
      <c r="P504" s="3">
        <v>7.0000000000000007E-2</v>
      </c>
      <c r="Q504" s="2">
        <v>276.08000000000004</v>
      </c>
      <c r="R504">
        <v>6</v>
      </c>
      <c r="S504" t="str">
        <f t="shared" si="7"/>
        <v>Setembro</v>
      </c>
    </row>
    <row r="505" spans="1:19" hidden="1" x14ac:dyDescent="0.3">
      <c r="A505">
        <v>504</v>
      </c>
      <c r="B505" s="1">
        <v>44100</v>
      </c>
      <c r="C505">
        <v>27</v>
      </c>
      <c r="D505" t="s">
        <v>88</v>
      </c>
      <c r="E505" t="s">
        <v>98</v>
      </c>
      <c r="F505">
        <v>44</v>
      </c>
      <c r="G505" s="2">
        <v>95</v>
      </c>
      <c r="H505" s="2">
        <v>4180</v>
      </c>
      <c r="I505" s="1">
        <v>0</v>
      </c>
      <c r="J505" s="2">
        <v>4180</v>
      </c>
      <c r="K505" s="1">
        <v>44102</v>
      </c>
      <c r="L505" s="1">
        <v>44102</v>
      </c>
      <c r="M505">
        <v>504</v>
      </c>
      <c r="N505">
        <v>5</v>
      </c>
      <c r="O505" t="s">
        <v>38</v>
      </c>
      <c r="P505" s="3">
        <v>0.06</v>
      </c>
      <c r="Q505" s="2">
        <v>250.79999999999998</v>
      </c>
      <c r="R505">
        <v>7</v>
      </c>
      <c r="S505" t="str">
        <f t="shared" si="7"/>
        <v>Setembro</v>
      </c>
    </row>
    <row r="506" spans="1:19" hidden="1" x14ac:dyDescent="0.3">
      <c r="A506">
        <v>505</v>
      </c>
      <c r="B506" s="1">
        <v>44100</v>
      </c>
      <c r="C506">
        <v>22</v>
      </c>
      <c r="D506" t="s">
        <v>41</v>
      </c>
      <c r="E506" t="s">
        <v>96</v>
      </c>
      <c r="F506">
        <v>35</v>
      </c>
      <c r="G506" s="2">
        <v>98</v>
      </c>
      <c r="H506" s="2">
        <v>3430</v>
      </c>
      <c r="I506" s="1">
        <v>0.04</v>
      </c>
      <c r="J506" s="2">
        <v>3292.8</v>
      </c>
      <c r="K506" s="1">
        <v>44102</v>
      </c>
      <c r="L506" s="1">
        <v>44102</v>
      </c>
      <c r="M506">
        <v>505</v>
      </c>
      <c r="N506">
        <v>7</v>
      </c>
      <c r="O506" t="s">
        <v>18</v>
      </c>
      <c r="P506" s="3">
        <v>0.05</v>
      </c>
      <c r="Q506" s="2">
        <v>164.64000000000001</v>
      </c>
      <c r="R506">
        <v>1</v>
      </c>
      <c r="S506" t="str">
        <f t="shared" si="7"/>
        <v>Setembro</v>
      </c>
    </row>
    <row r="507" spans="1:19" hidden="1" x14ac:dyDescent="0.3">
      <c r="A507">
        <v>506</v>
      </c>
      <c r="B507" s="1">
        <v>44102</v>
      </c>
      <c r="C507">
        <v>47</v>
      </c>
      <c r="D507" t="s">
        <v>33</v>
      </c>
      <c r="E507" t="s">
        <v>96</v>
      </c>
      <c r="F507">
        <v>44</v>
      </c>
      <c r="G507" s="2">
        <v>107</v>
      </c>
      <c r="H507" s="2">
        <v>4708</v>
      </c>
      <c r="I507" s="1">
        <v>0.01</v>
      </c>
      <c r="J507" s="2">
        <v>4660.92</v>
      </c>
      <c r="K507" s="1">
        <v>44122</v>
      </c>
      <c r="L507" s="1">
        <v>44122</v>
      </c>
      <c r="M507">
        <v>506</v>
      </c>
      <c r="N507">
        <v>2</v>
      </c>
      <c r="O507" t="s">
        <v>23</v>
      </c>
      <c r="P507" s="3">
        <v>0.1</v>
      </c>
      <c r="Q507" s="2">
        <v>466.09200000000004</v>
      </c>
      <c r="R507">
        <v>2</v>
      </c>
      <c r="S507" t="str">
        <f t="shared" si="7"/>
        <v>Setembro</v>
      </c>
    </row>
    <row r="508" spans="1:19" hidden="1" x14ac:dyDescent="0.3">
      <c r="A508">
        <v>507</v>
      </c>
      <c r="B508" s="1">
        <v>44104</v>
      </c>
      <c r="C508">
        <v>99</v>
      </c>
      <c r="D508" t="s">
        <v>71</v>
      </c>
      <c r="E508" t="s">
        <v>98</v>
      </c>
      <c r="F508">
        <v>19</v>
      </c>
      <c r="G508" s="2">
        <v>120</v>
      </c>
      <c r="H508" s="2">
        <v>2280</v>
      </c>
      <c r="I508" s="1">
        <v>0.13</v>
      </c>
      <c r="J508" s="2">
        <v>1983.6</v>
      </c>
      <c r="K508" s="1">
        <v>44118</v>
      </c>
      <c r="L508" s="1">
        <v>44118</v>
      </c>
      <c r="M508">
        <v>507</v>
      </c>
      <c r="N508">
        <v>4</v>
      </c>
      <c r="O508" t="s">
        <v>27</v>
      </c>
      <c r="P508" s="3">
        <v>0.09</v>
      </c>
      <c r="Q508" s="2">
        <v>178.52399999999997</v>
      </c>
      <c r="R508">
        <v>3</v>
      </c>
      <c r="S508" t="str">
        <f t="shared" si="7"/>
        <v>Setembro</v>
      </c>
    </row>
    <row r="509" spans="1:19" hidden="1" x14ac:dyDescent="0.3">
      <c r="A509">
        <v>508</v>
      </c>
      <c r="B509" s="1">
        <v>44104</v>
      </c>
      <c r="C509">
        <v>96</v>
      </c>
      <c r="D509" t="s">
        <v>34</v>
      </c>
      <c r="E509" t="s">
        <v>96</v>
      </c>
      <c r="F509">
        <v>10</v>
      </c>
      <c r="G509" s="2">
        <v>111</v>
      </c>
      <c r="H509" s="2">
        <v>1110</v>
      </c>
      <c r="I509" s="1">
        <v>0.04</v>
      </c>
      <c r="J509" s="2">
        <v>1065.5999999999999</v>
      </c>
      <c r="K509" s="1">
        <v>44115</v>
      </c>
      <c r="L509" s="1">
        <v>44115</v>
      </c>
      <c r="M509">
        <v>508</v>
      </c>
      <c r="N509">
        <v>2</v>
      </c>
      <c r="O509" t="s">
        <v>30</v>
      </c>
      <c r="P509" s="3">
        <v>0.06</v>
      </c>
      <c r="Q509" s="2">
        <v>63.935999999999993</v>
      </c>
      <c r="R509">
        <v>4</v>
      </c>
      <c r="S509" t="str">
        <f t="shared" si="7"/>
        <v>Setembro</v>
      </c>
    </row>
    <row r="510" spans="1:19" hidden="1" x14ac:dyDescent="0.3">
      <c r="A510">
        <v>509</v>
      </c>
      <c r="B510" s="1">
        <v>44105</v>
      </c>
      <c r="C510">
        <v>50</v>
      </c>
      <c r="D510" t="s">
        <v>68</v>
      </c>
      <c r="E510" t="s">
        <v>98</v>
      </c>
      <c r="F510">
        <v>37</v>
      </c>
      <c r="G510" s="2">
        <v>110</v>
      </c>
      <c r="H510" s="2">
        <v>4070</v>
      </c>
      <c r="I510" s="1">
        <v>0.06</v>
      </c>
      <c r="J510" s="2">
        <v>3825.8</v>
      </c>
      <c r="K510" s="1">
        <v>44118</v>
      </c>
      <c r="L510" s="1">
        <v>44118</v>
      </c>
      <c r="M510">
        <v>509</v>
      </c>
      <c r="N510">
        <v>6</v>
      </c>
      <c r="O510" t="s">
        <v>23</v>
      </c>
      <c r="P510" s="3">
        <v>0.08</v>
      </c>
      <c r="Q510" s="2">
        <v>306.06400000000002</v>
      </c>
      <c r="R510">
        <v>5</v>
      </c>
      <c r="S510" t="str">
        <f t="shared" si="7"/>
        <v>Outubro</v>
      </c>
    </row>
    <row r="511" spans="1:19" hidden="1" x14ac:dyDescent="0.3">
      <c r="A511">
        <v>510</v>
      </c>
      <c r="B511" s="1">
        <v>44105</v>
      </c>
      <c r="C511">
        <v>20</v>
      </c>
      <c r="D511" t="s">
        <v>32</v>
      </c>
      <c r="E511" t="s">
        <v>100</v>
      </c>
      <c r="F511">
        <v>22</v>
      </c>
      <c r="G511" s="2">
        <v>110</v>
      </c>
      <c r="H511" s="2">
        <v>2420</v>
      </c>
      <c r="I511" s="1">
        <v>0.05</v>
      </c>
      <c r="J511" s="2">
        <v>2299</v>
      </c>
      <c r="K511" s="1">
        <v>44130</v>
      </c>
      <c r="L511" s="1">
        <v>44130</v>
      </c>
      <c r="M511">
        <v>510</v>
      </c>
      <c r="N511">
        <v>3</v>
      </c>
      <c r="O511" t="s">
        <v>38</v>
      </c>
      <c r="P511" s="3">
        <v>0.05</v>
      </c>
      <c r="Q511" s="2">
        <v>114.95</v>
      </c>
      <c r="R511">
        <v>6</v>
      </c>
      <c r="S511" t="str">
        <f t="shared" si="7"/>
        <v>Outubro</v>
      </c>
    </row>
    <row r="512" spans="1:19" x14ac:dyDescent="0.3">
      <c r="A512">
        <v>511</v>
      </c>
      <c r="B512" s="1">
        <v>44106</v>
      </c>
      <c r="C512">
        <v>73</v>
      </c>
      <c r="D512" t="s">
        <v>31</v>
      </c>
      <c r="E512" t="s">
        <v>103</v>
      </c>
      <c r="F512">
        <v>43</v>
      </c>
      <c r="G512" s="2">
        <v>108</v>
      </c>
      <c r="H512" s="2">
        <v>4644</v>
      </c>
      <c r="I512" s="1">
        <v>0.1</v>
      </c>
      <c r="J512" s="2">
        <v>4179.6000000000004</v>
      </c>
      <c r="K512" s="1">
        <v>44127</v>
      </c>
      <c r="L512" s="1">
        <v>44127</v>
      </c>
      <c r="M512">
        <v>511</v>
      </c>
      <c r="N512">
        <v>1</v>
      </c>
      <c r="O512" t="s">
        <v>35</v>
      </c>
      <c r="P512" s="3">
        <v>0.1</v>
      </c>
      <c r="Q512" s="2">
        <v>417.96000000000004</v>
      </c>
      <c r="R512">
        <v>7</v>
      </c>
      <c r="S512" t="str">
        <f t="shared" si="7"/>
        <v>Outubro</v>
      </c>
    </row>
    <row r="513" spans="1:19" x14ac:dyDescent="0.3">
      <c r="A513">
        <v>512</v>
      </c>
      <c r="B513" s="1">
        <v>44106</v>
      </c>
      <c r="C513">
        <v>12</v>
      </c>
      <c r="D513" t="s">
        <v>37</v>
      </c>
      <c r="E513" t="s">
        <v>97</v>
      </c>
      <c r="F513">
        <v>40</v>
      </c>
      <c r="G513" s="2">
        <v>107</v>
      </c>
      <c r="H513" s="2">
        <v>4280</v>
      </c>
      <c r="I513" s="1">
        <v>0.12</v>
      </c>
      <c r="J513" s="2">
        <v>3766.4</v>
      </c>
      <c r="K513" s="1">
        <v>44120</v>
      </c>
      <c r="L513" s="1">
        <v>44120</v>
      </c>
      <c r="M513">
        <v>512</v>
      </c>
      <c r="N513">
        <v>7</v>
      </c>
      <c r="O513" t="s">
        <v>35</v>
      </c>
      <c r="P513" s="3">
        <v>0.1</v>
      </c>
      <c r="Q513" s="2">
        <v>376.64000000000004</v>
      </c>
      <c r="R513">
        <v>1</v>
      </c>
      <c r="S513" t="str">
        <f t="shared" si="7"/>
        <v>Outubro</v>
      </c>
    </row>
    <row r="514" spans="1:19" hidden="1" x14ac:dyDescent="0.3">
      <c r="A514">
        <v>513</v>
      </c>
      <c r="B514" s="1">
        <v>44106</v>
      </c>
      <c r="C514">
        <v>99</v>
      </c>
      <c r="D514" t="s">
        <v>71</v>
      </c>
      <c r="E514" t="s">
        <v>104</v>
      </c>
      <c r="F514">
        <v>13</v>
      </c>
      <c r="G514" s="2">
        <v>120</v>
      </c>
      <c r="H514" s="2">
        <v>1560</v>
      </c>
      <c r="I514" s="1">
        <v>0</v>
      </c>
      <c r="J514" s="2">
        <v>1560</v>
      </c>
      <c r="K514" s="1">
        <v>44133</v>
      </c>
      <c r="L514" s="1">
        <v>44133</v>
      </c>
      <c r="M514">
        <v>513</v>
      </c>
      <c r="N514">
        <v>1</v>
      </c>
      <c r="O514" t="s">
        <v>23</v>
      </c>
      <c r="P514" s="3">
        <v>7.0000000000000007E-2</v>
      </c>
      <c r="Q514" s="2">
        <v>109.20000000000002</v>
      </c>
      <c r="R514">
        <v>2</v>
      </c>
      <c r="S514" t="str">
        <f t="shared" si="7"/>
        <v>Outubro</v>
      </c>
    </row>
    <row r="515" spans="1:19" hidden="1" x14ac:dyDescent="0.3">
      <c r="A515">
        <v>514</v>
      </c>
      <c r="B515" s="1">
        <v>44107</v>
      </c>
      <c r="C515">
        <v>91</v>
      </c>
      <c r="D515" t="s">
        <v>49</v>
      </c>
      <c r="E515" t="s">
        <v>96</v>
      </c>
      <c r="F515">
        <v>46</v>
      </c>
      <c r="G515" s="2">
        <v>111</v>
      </c>
      <c r="H515" s="2">
        <v>5106</v>
      </c>
      <c r="I515" s="1">
        <v>0.04</v>
      </c>
      <c r="J515" s="2">
        <v>4901.76</v>
      </c>
      <c r="K515" s="1">
        <v>44132</v>
      </c>
      <c r="L515" s="1">
        <v>44132</v>
      </c>
      <c r="M515">
        <v>514</v>
      </c>
      <c r="N515">
        <v>2</v>
      </c>
      <c r="O515" t="s">
        <v>30</v>
      </c>
      <c r="P515" s="3">
        <v>0.09</v>
      </c>
      <c r="Q515" s="2">
        <v>441.15840000000003</v>
      </c>
      <c r="R515">
        <v>3</v>
      </c>
      <c r="S515" t="str">
        <f t="shared" ref="S515:S578" si="8">PROPER(TEXT(B515,"mmmm"))</f>
        <v>Outubro</v>
      </c>
    </row>
    <row r="516" spans="1:19" x14ac:dyDescent="0.3">
      <c r="A516">
        <v>515</v>
      </c>
      <c r="B516" s="1">
        <v>44107</v>
      </c>
      <c r="C516">
        <v>13</v>
      </c>
      <c r="D516" t="s">
        <v>62</v>
      </c>
      <c r="E516" t="s">
        <v>99</v>
      </c>
      <c r="F516">
        <v>48</v>
      </c>
      <c r="G516" s="2">
        <v>118</v>
      </c>
      <c r="H516" s="2">
        <v>5664</v>
      </c>
      <c r="I516" s="1">
        <v>0.03</v>
      </c>
      <c r="J516" s="2">
        <v>5494.08</v>
      </c>
      <c r="K516" s="1">
        <v>44122</v>
      </c>
      <c r="L516" s="1">
        <v>44122</v>
      </c>
      <c r="M516">
        <v>515</v>
      </c>
      <c r="N516">
        <v>6</v>
      </c>
      <c r="O516" t="s">
        <v>35</v>
      </c>
      <c r="P516" s="3">
        <v>0.06</v>
      </c>
      <c r="Q516" s="2">
        <v>329.64479999999998</v>
      </c>
      <c r="R516">
        <v>4</v>
      </c>
      <c r="S516" t="str">
        <f t="shared" si="8"/>
        <v>Outubro</v>
      </c>
    </row>
    <row r="517" spans="1:19" hidden="1" x14ac:dyDescent="0.3">
      <c r="A517">
        <v>516</v>
      </c>
      <c r="B517" s="1">
        <v>44107</v>
      </c>
      <c r="C517">
        <v>56</v>
      </c>
      <c r="D517" t="s">
        <v>54</v>
      </c>
      <c r="E517" t="s">
        <v>103</v>
      </c>
      <c r="F517">
        <v>25</v>
      </c>
      <c r="G517" s="2">
        <v>99</v>
      </c>
      <c r="H517" s="2">
        <v>2475</v>
      </c>
      <c r="I517" s="1">
        <v>0.1</v>
      </c>
      <c r="J517" s="2">
        <v>2227.5</v>
      </c>
      <c r="K517" s="1">
        <v>44122</v>
      </c>
      <c r="L517" s="1">
        <v>44122</v>
      </c>
      <c r="M517">
        <v>516</v>
      </c>
      <c r="N517">
        <v>4</v>
      </c>
      <c r="O517" t="s">
        <v>20</v>
      </c>
      <c r="P517" s="3">
        <v>0.05</v>
      </c>
      <c r="Q517" s="2">
        <v>111.375</v>
      </c>
      <c r="R517">
        <v>5</v>
      </c>
      <c r="S517" t="str">
        <f t="shared" si="8"/>
        <v>Outubro</v>
      </c>
    </row>
    <row r="518" spans="1:19" hidden="1" x14ac:dyDescent="0.3">
      <c r="A518">
        <v>517</v>
      </c>
      <c r="B518" s="1">
        <v>44107</v>
      </c>
      <c r="C518">
        <v>58</v>
      </c>
      <c r="D518" t="s">
        <v>59</v>
      </c>
      <c r="E518" t="s">
        <v>99</v>
      </c>
      <c r="F518">
        <v>49</v>
      </c>
      <c r="G518" s="2">
        <v>102</v>
      </c>
      <c r="H518" s="2">
        <v>4998</v>
      </c>
      <c r="I518" s="1">
        <v>0.04</v>
      </c>
      <c r="J518" s="2">
        <v>4798.08</v>
      </c>
      <c r="K518" s="1">
        <v>44132</v>
      </c>
      <c r="L518" s="1">
        <v>44132</v>
      </c>
      <c r="M518">
        <v>517</v>
      </c>
      <c r="N518">
        <v>5</v>
      </c>
      <c r="O518" t="s">
        <v>42</v>
      </c>
      <c r="P518" s="3">
        <v>0.09</v>
      </c>
      <c r="Q518" s="2">
        <v>431.8272</v>
      </c>
      <c r="R518">
        <v>6</v>
      </c>
      <c r="S518" t="str">
        <f t="shared" si="8"/>
        <v>Outubro</v>
      </c>
    </row>
    <row r="519" spans="1:19" hidden="1" x14ac:dyDescent="0.3">
      <c r="A519">
        <v>518</v>
      </c>
      <c r="B519" s="1">
        <v>44108</v>
      </c>
      <c r="C519">
        <v>55</v>
      </c>
      <c r="D519" t="s">
        <v>36</v>
      </c>
      <c r="E519" t="s">
        <v>104</v>
      </c>
      <c r="F519">
        <v>20</v>
      </c>
      <c r="G519" s="2">
        <v>98</v>
      </c>
      <c r="H519" s="2">
        <v>1960</v>
      </c>
      <c r="I519" s="1">
        <v>0.03</v>
      </c>
      <c r="J519" s="2">
        <v>1901.2</v>
      </c>
      <c r="K519" s="1">
        <v>44130</v>
      </c>
      <c r="L519" s="1">
        <v>44130</v>
      </c>
      <c r="M519">
        <v>518</v>
      </c>
      <c r="N519">
        <v>6</v>
      </c>
      <c r="O519" t="s">
        <v>18</v>
      </c>
      <c r="P519" s="3">
        <v>0.09</v>
      </c>
      <c r="Q519" s="2">
        <v>171.108</v>
      </c>
      <c r="R519">
        <v>7</v>
      </c>
      <c r="S519" t="str">
        <f t="shared" si="8"/>
        <v>Outubro</v>
      </c>
    </row>
    <row r="520" spans="1:19" hidden="1" x14ac:dyDescent="0.3">
      <c r="A520">
        <v>519</v>
      </c>
      <c r="B520" s="1">
        <v>44108</v>
      </c>
      <c r="C520">
        <v>51</v>
      </c>
      <c r="D520" t="s">
        <v>43</v>
      </c>
      <c r="E520" t="s">
        <v>97</v>
      </c>
      <c r="F520">
        <v>36</v>
      </c>
      <c r="G520" s="2">
        <v>113</v>
      </c>
      <c r="H520" s="2">
        <v>4068</v>
      </c>
      <c r="I520" s="1">
        <v>0.1</v>
      </c>
      <c r="J520" s="2">
        <v>3661.2</v>
      </c>
      <c r="K520" s="1">
        <v>44116</v>
      </c>
      <c r="L520" s="1">
        <v>44116</v>
      </c>
      <c r="M520">
        <v>519</v>
      </c>
      <c r="N520">
        <v>3</v>
      </c>
      <c r="O520" t="s">
        <v>20</v>
      </c>
      <c r="P520" s="3">
        <v>0.08</v>
      </c>
      <c r="Q520" s="2">
        <v>292.89600000000002</v>
      </c>
      <c r="R520">
        <v>1</v>
      </c>
      <c r="S520" t="str">
        <f t="shared" si="8"/>
        <v>Outubro</v>
      </c>
    </row>
    <row r="521" spans="1:19" hidden="1" x14ac:dyDescent="0.3">
      <c r="A521">
        <v>520</v>
      </c>
      <c r="B521" s="1">
        <v>44111</v>
      </c>
      <c r="C521">
        <v>82</v>
      </c>
      <c r="D521" t="s">
        <v>54</v>
      </c>
      <c r="E521" t="s">
        <v>99</v>
      </c>
      <c r="F521">
        <v>26</v>
      </c>
      <c r="G521" s="2">
        <v>107</v>
      </c>
      <c r="H521" s="2">
        <v>2782</v>
      </c>
      <c r="I521" s="1">
        <v>0.06</v>
      </c>
      <c r="J521" s="2">
        <v>2615.08</v>
      </c>
      <c r="K521" s="1">
        <v>44130</v>
      </c>
      <c r="L521" s="1">
        <v>44130</v>
      </c>
      <c r="M521">
        <v>520</v>
      </c>
      <c r="N521">
        <v>3</v>
      </c>
      <c r="O521" t="s">
        <v>38</v>
      </c>
      <c r="P521" s="3">
        <v>0.05</v>
      </c>
      <c r="Q521" s="2">
        <v>130.75399999999999</v>
      </c>
      <c r="R521">
        <v>2</v>
      </c>
      <c r="S521" t="str">
        <f t="shared" si="8"/>
        <v>Outubro</v>
      </c>
    </row>
    <row r="522" spans="1:19" hidden="1" x14ac:dyDescent="0.3">
      <c r="A522">
        <v>521</v>
      </c>
      <c r="B522" s="1">
        <v>44112</v>
      </c>
      <c r="C522">
        <v>69</v>
      </c>
      <c r="D522" t="s">
        <v>54</v>
      </c>
      <c r="E522" t="s">
        <v>96</v>
      </c>
      <c r="F522">
        <v>50</v>
      </c>
      <c r="G522" s="2">
        <v>117</v>
      </c>
      <c r="H522" s="2">
        <v>5850</v>
      </c>
      <c r="I522" s="1">
        <v>0.14000000000000001</v>
      </c>
      <c r="J522" s="2">
        <v>5031</v>
      </c>
      <c r="K522" s="1">
        <v>44141</v>
      </c>
      <c r="L522" s="1">
        <v>44141</v>
      </c>
      <c r="M522">
        <v>521</v>
      </c>
      <c r="N522">
        <v>2</v>
      </c>
      <c r="O522" t="s">
        <v>23</v>
      </c>
      <c r="P522" s="3">
        <v>0.06</v>
      </c>
      <c r="Q522" s="2">
        <v>301.86</v>
      </c>
      <c r="R522">
        <v>3</v>
      </c>
      <c r="S522" t="str">
        <f t="shared" si="8"/>
        <v>Outubro</v>
      </c>
    </row>
    <row r="523" spans="1:19" hidden="1" x14ac:dyDescent="0.3">
      <c r="A523">
        <v>522</v>
      </c>
      <c r="B523" s="1">
        <v>44113</v>
      </c>
      <c r="C523">
        <v>66</v>
      </c>
      <c r="D523" t="s">
        <v>24</v>
      </c>
      <c r="E523" t="s">
        <v>96</v>
      </c>
      <c r="F523">
        <v>16</v>
      </c>
      <c r="G523" s="2">
        <v>90</v>
      </c>
      <c r="H523" s="2">
        <v>1440</v>
      </c>
      <c r="I523" s="1">
        <v>0.09</v>
      </c>
      <c r="J523" s="2">
        <v>1310.4000000000001</v>
      </c>
      <c r="K523" s="1">
        <v>44114</v>
      </c>
      <c r="L523" s="1">
        <v>44114</v>
      </c>
      <c r="M523">
        <v>522</v>
      </c>
      <c r="N523">
        <v>4</v>
      </c>
      <c r="O523" t="s">
        <v>20</v>
      </c>
      <c r="P523" s="3">
        <v>0.09</v>
      </c>
      <c r="Q523" s="2">
        <v>117.93600000000001</v>
      </c>
      <c r="R523">
        <v>4</v>
      </c>
      <c r="S523" t="str">
        <f t="shared" si="8"/>
        <v>Outubro</v>
      </c>
    </row>
    <row r="524" spans="1:19" hidden="1" x14ac:dyDescent="0.3">
      <c r="A524">
        <v>523</v>
      </c>
      <c r="B524" s="1">
        <v>44113</v>
      </c>
      <c r="C524">
        <v>61</v>
      </c>
      <c r="D524" t="s">
        <v>44</v>
      </c>
      <c r="E524" t="s">
        <v>97</v>
      </c>
      <c r="F524">
        <v>40</v>
      </c>
      <c r="G524" s="2">
        <v>116</v>
      </c>
      <c r="H524" s="2">
        <v>4640</v>
      </c>
      <c r="I524" s="1">
        <v>0.05</v>
      </c>
      <c r="J524" s="2">
        <v>4408</v>
      </c>
      <c r="K524" s="1">
        <v>44126</v>
      </c>
      <c r="L524" s="1">
        <v>44126</v>
      </c>
      <c r="M524">
        <v>523</v>
      </c>
      <c r="N524">
        <v>1</v>
      </c>
      <c r="O524" t="s">
        <v>18</v>
      </c>
      <c r="P524" s="3">
        <v>0.1</v>
      </c>
      <c r="Q524" s="2">
        <v>440.8</v>
      </c>
      <c r="R524">
        <v>5</v>
      </c>
      <c r="S524" t="str">
        <f t="shared" si="8"/>
        <v>Outubro</v>
      </c>
    </row>
    <row r="525" spans="1:19" hidden="1" x14ac:dyDescent="0.3">
      <c r="A525">
        <v>524</v>
      </c>
      <c r="B525" s="1">
        <v>44113</v>
      </c>
      <c r="C525">
        <v>63</v>
      </c>
      <c r="D525" t="s">
        <v>67</v>
      </c>
      <c r="E525" t="s">
        <v>97</v>
      </c>
      <c r="F525">
        <v>40</v>
      </c>
      <c r="G525" s="2">
        <v>108</v>
      </c>
      <c r="H525" s="2">
        <v>4320</v>
      </c>
      <c r="I525" s="1">
        <v>0.04</v>
      </c>
      <c r="J525" s="2">
        <v>4147.2</v>
      </c>
      <c r="K525" s="1">
        <v>44128</v>
      </c>
      <c r="L525" s="1">
        <v>44128</v>
      </c>
      <c r="M525">
        <v>524</v>
      </c>
      <c r="N525">
        <v>3</v>
      </c>
      <c r="O525" t="s">
        <v>23</v>
      </c>
      <c r="P525" s="3">
        <v>7.0000000000000007E-2</v>
      </c>
      <c r="Q525" s="2">
        <v>290.30400000000003</v>
      </c>
      <c r="R525">
        <v>6</v>
      </c>
      <c r="S525" t="str">
        <f t="shared" si="8"/>
        <v>Outubro</v>
      </c>
    </row>
    <row r="526" spans="1:19" hidden="1" x14ac:dyDescent="0.3">
      <c r="A526">
        <v>525</v>
      </c>
      <c r="B526" s="1">
        <v>44114</v>
      </c>
      <c r="C526">
        <v>8</v>
      </c>
      <c r="D526" t="s">
        <v>31</v>
      </c>
      <c r="E526" t="s">
        <v>95</v>
      </c>
      <c r="F526">
        <v>42</v>
      </c>
      <c r="G526" s="2">
        <v>103</v>
      </c>
      <c r="H526" s="2">
        <v>4326</v>
      </c>
      <c r="I526" s="1">
        <v>0.01</v>
      </c>
      <c r="J526" s="2">
        <v>4282.74</v>
      </c>
      <c r="K526" s="1">
        <v>44133</v>
      </c>
      <c r="L526" s="1">
        <v>44133</v>
      </c>
      <c r="M526">
        <v>525</v>
      </c>
      <c r="N526">
        <v>5</v>
      </c>
      <c r="O526" t="s">
        <v>27</v>
      </c>
      <c r="P526" s="3">
        <v>0.09</v>
      </c>
      <c r="Q526" s="2">
        <v>385.44659999999999</v>
      </c>
      <c r="R526">
        <v>7</v>
      </c>
      <c r="S526" t="str">
        <f t="shared" si="8"/>
        <v>Outubro</v>
      </c>
    </row>
    <row r="527" spans="1:19" hidden="1" x14ac:dyDescent="0.3">
      <c r="A527">
        <v>526</v>
      </c>
      <c r="B527" s="1">
        <v>44114</v>
      </c>
      <c r="C527">
        <v>33</v>
      </c>
      <c r="D527" t="s">
        <v>63</v>
      </c>
      <c r="E527" t="s">
        <v>96</v>
      </c>
      <c r="F527">
        <v>39</v>
      </c>
      <c r="G527" s="2">
        <v>120</v>
      </c>
      <c r="H527" s="2">
        <v>4680</v>
      </c>
      <c r="I527" s="1">
        <v>0.11</v>
      </c>
      <c r="J527" s="2">
        <v>4165.2</v>
      </c>
      <c r="K527" s="1">
        <v>44131</v>
      </c>
      <c r="L527" s="1">
        <v>44131</v>
      </c>
      <c r="M527">
        <v>526</v>
      </c>
      <c r="N527">
        <v>4</v>
      </c>
      <c r="O527" t="s">
        <v>25</v>
      </c>
      <c r="P527" s="3">
        <v>0.05</v>
      </c>
      <c r="Q527" s="2">
        <v>208.26</v>
      </c>
      <c r="R527">
        <v>1</v>
      </c>
      <c r="S527" t="str">
        <f t="shared" si="8"/>
        <v>Outubro</v>
      </c>
    </row>
    <row r="528" spans="1:19" hidden="1" x14ac:dyDescent="0.3">
      <c r="A528">
        <v>527</v>
      </c>
      <c r="B528" s="1">
        <v>44114</v>
      </c>
      <c r="C528">
        <v>24</v>
      </c>
      <c r="D528" t="s">
        <v>61</v>
      </c>
      <c r="E528" t="s">
        <v>102</v>
      </c>
      <c r="F528">
        <v>38</v>
      </c>
      <c r="G528" s="2">
        <v>96</v>
      </c>
      <c r="H528" s="2">
        <v>3648</v>
      </c>
      <c r="I528" s="1">
        <v>0.03</v>
      </c>
      <c r="J528" s="2">
        <v>3538.56</v>
      </c>
      <c r="K528" s="1">
        <v>44125</v>
      </c>
      <c r="L528" s="1">
        <v>44125</v>
      </c>
      <c r="M528">
        <v>527</v>
      </c>
      <c r="N528">
        <v>1</v>
      </c>
      <c r="O528" t="s">
        <v>20</v>
      </c>
      <c r="P528" s="3">
        <v>0.05</v>
      </c>
      <c r="Q528" s="2">
        <v>176.928</v>
      </c>
      <c r="R528">
        <v>2</v>
      </c>
      <c r="S528" t="str">
        <f t="shared" si="8"/>
        <v>Outubro</v>
      </c>
    </row>
    <row r="529" spans="1:19" hidden="1" x14ac:dyDescent="0.3">
      <c r="A529">
        <v>528</v>
      </c>
      <c r="B529" s="1">
        <v>44115</v>
      </c>
      <c r="C529">
        <v>5</v>
      </c>
      <c r="D529" t="s">
        <v>31</v>
      </c>
      <c r="E529" t="s">
        <v>102</v>
      </c>
      <c r="F529">
        <v>32</v>
      </c>
      <c r="G529" s="2">
        <v>112</v>
      </c>
      <c r="H529" s="2">
        <v>3584</v>
      </c>
      <c r="I529" s="1">
        <v>0.04</v>
      </c>
      <c r="J529" s="2">
        <v>3440.64</v>
      </c>
      <c r="K529" s="1">
        <v>44127</v>
      </c>
      <c r="L529" s="1">
        <v>44127</v>
      </c>
      <c r="M529">
        <v>528</v>
      </c>
      <c r="N529">
        <v>5</v>
      </c>
      <c r="O529" t="s">
        <v>38</v>
      </c>
      <c r="P529" s="3">
        <v>0.09</v>
      </c>
      <c r="Q529" s="2">
        <v>309.6576</v>
      </c>
      <c r="R529">
        <v>3</v>
      </c>
      <c r="S529" t="str">
        <f t="shared" si="8"/>
        <v>Outubro</v>
      </c>
    </row>
    <row r="530" spans="1:19" hidden="1" x14ac:dyDescent="0.3">
      <c r="A530">
        <v>529</v>
      </c>
      <c r="B530" s="1">
        <v>44115</v>
      </c>
      <c r="C530">
        <v>29</v>
      </c>
      <c r="D530" t="s">
        <v>85</v>
      </c>
      <c r="E530" t="s">
        <v>95</v>
      </c>
      <c r="F530">
        <v>20</v>
      </c>
      <c r="G530" s="2">
        <v>108</v>
      </c>
      <c r="H530" s="2">
        <v>2160</v>
      </c>
      <c r="I530" s="1">
        <v>0</v>
      </c>
      <c r="J530" s="2">
        <v>2160</v>
      </c>
      <c r="K530" s="1">
        <v>44135</v>
      </c>
      <c r="L530" s="1">
        <v>44135</v>
      </c>
      <c r="M530">
        <v>529</v>
      </c>
      <c r="N530">
        <v>6</v>
      </c>
      <c r="O530" t="s">
        <v>38</v>
      </c>
      <c r="P530" s="3">
        <v>7.0000000000000007E-2</v>
      </c>
      <c r="Q530" s="2">
        <v>151.20000000000002</v>
      </c>
      <c r="R530">
        <v>4</v>
      </c>
      <c r="S530" t="str">
        <f t="shared" si="8"/>
        <v>Outubro</v>
      </c>
    </row>
    <row r="531" spans="1:19" x14ac:dyDescent="0.3">
      <c r="A531">
        <v>530</v>
      </c>
      <c r="B531" s="1">
        <v>44115</v>
      </c>
      <c r="C531">
        <v>56</v>
      </c>
      <c r="D531" t="s">
        <v>54</v>
      </c>
      <c r="E531" t="s">
        <v>102</v>
      </c>
      <c r="F531">
        <v>22</v>
      </c>
      <c r="G531" s="2">
        <v>101</v>
      </c>
      <c r="H531" s="2">
        <v>2222</v>
      </c>
      <c r="I531" s="1">
        <v>0.15</v>
      </c>
      <c r="J531" s="2">
        <v>1888.7</v>
      </c>
      <c r="K531" s="1">
        <v>44128</v>
      </c>
      <c r="L531" s="1">
        <v>44128</v>
      </c>
      <c r="M531">
        <v>530</v>
      </c>
      <c r="N531">
        <v>7</v>
      </c>
      <c r="O531" t="s">
        <v>35</v>
      </c>
      <c r="P531" s="3">
        <v>0.06</v>
      </c>
      <c r="Q531" s="2">
        <v>113.322</v>
      </c>
      <c r="R531">
        <v>5</v>
      </c>
      <c r="S531" t="str">
        <f t="shared" si="8"/>
        <v>Outubro</v>
      </c>
    </row>
    <row r="532" spans="1:19" hidden="1" x14ac:dyDescent="0.3">
      <c r="A532">
        <v>531</v>
      </c>
      <c r="B532" s="1">
        <v>44116</v>
      </c>
      <c r="C532">
        <v>22</v>
      </c>
      <c r="D532" t="s">
        <v>41</v>
      </c>
      <c r="E532" t="s">
        <v>98</v>
      </c>
      <c r="F532">
        <v>42</v>
      </c>
      <c r="G532" s="2">
        <v>91</v>
      </c>
      <c r="H532" s="2">
        <v>3822</v>
      </c>
      <c r="I532" s="1">
        <v>0.09</v>
      </c>
      <c r="J532" s="2">
        <v>3478.02</v>
      </c>
      <c r="K532" s="1">
        <v>44145</v>
      </c>
      <c r="L532" s="1">
        <v>44145</v>
      </c>
      <c r="M532">
        <v>531</v>
      </c>
      <c r="N532">
        <v>4</v>
      </c>
      <c r="O532" t="s">
        <v>27</v>
      </c>
      <c r="P532" s="3">
        <v>7.0000000000000007E-2</v>
      </c>
      <c r="Q532" s="2">
        <v>243.46140000000003</v>
      </c>
      <c r="R532">
        <v>6</v>
      </c>
      <c r="S532" t="str">
        <f t="shared" si="8"/>
        <v>Outubro</v>
      </c>
    </row>
    <row r="533" spans="1:19" hidden="1" x14ac:dyDescent="0.3">
      <c r="A533">
        <v>532</v>
      </c>
      <c r="B533" s="1">
        <v>44116</v>
      </c>
      <c r="C533">
        <v>89</v>
      </c>
      <c r="D533" t="s">
        <v>40</v>
      </c>
      <c r="E533" t="s">
        <v>98</v>
      </c>
      <c r="F533">
        <v>48</v>
      </c>
      <c r="G533" s="2">
        <v>98</v>
      </c>
      <c r="H533" s="2">
        <v>4704</v>
      </c>
      <c r="I533" s="1">
        <v>0.04</v>
      </c>
      <c r="J533" s="2">
        <v>4515.84</v>
      </c>
      <c r="K533" s="1">
        <v>44123</v>
      </c>
      <c r="L533" s="1">
        <v>44123</v>
      </c>
      <c r="M533">
        <v>532</v>
      </c>
      <c r="N533">
        <v>3</v>
      </c>
      <c r="O533" t="s">
        <v>42</v>
      </c>
      <c r="P533" s="3">
        <v>0.1</v>
      </c>
      <c r="Q533" s="2">
        <v>451.58400000000006</v>
      </c>
      <c r="R533">
        <v>7</v>
      </c>
      <c r="S533" t="str">
        <f t="shared" si="8"/>
        <v>Outubro</v>
      </c>
    </row>
    <row r="534" spans="1:19" hidden="1" x14ac:dyDescent="0.3">
      <c r="A534">
        <v>533</v>
      </c>
      <c r="B534" s="1">
        <v>44116</v>
      </c>
      <c r="C534">
        <v>90</v>
      </c>
      <c r="D534" t="s">
        <v>47</v>
      </c>
      <c r="E534" t="s">
        <v>98</v>
      </c>
      <c r="F534">
        <v>42</v>
      </c>
      <c r="G534" s="2">
        <v>116</v>
      </c>
      <c r="H534" s="2">
        <v>4872</v>
      </c>
      <c r="I534" s="1">
        <v>0.02</v>
      </c>
      <c r="J534" s="2">
        <v>4774.5600000000004</v>
      </c>
      <c r="K534" s="1">
        <v>44138</v>
      </c>
      <c r="L534" s="1">
        <v>44138</v>
      </c>
      <c r="M534">
        <v>533</v>
      </c>
      <c r="N534">
        <v>1</v>
      </c>
      <c r="O534" t="s">
        <v>56</v>
      </c>
      <c r="P534" s="3">
        <v>0.05</v>
      </c>
      <c r="Q534" s="2">
        <v>238.72800000000004</v>
      </c>
      <c r="R534">
        <v>1</v>
      </c>
      <c r="S534" t="str">
        <f t="shared" si="8"/>
        <v>Outubro</v>
      </c>
    </row>
    <row r="535" spans="1:19" hidden="1" x14ac:dyDescent="0.3">
      <c r="A535">
        <v>534</v>
      </c>
      <c r="B535" s="1">
        <v>44116</v>
      </c>
      <c r="C535">
        <v>77</v>
      </c>
      <c r="D535" t="s">
        <v>52</v>
      </c>
      <c r="E535" t="s">
        <v>98</v>
      </c>
      <c r="F535">
        <v>17</v>
      </c>
      <c r="G535" s="2">
        <v>113</v>
      </c>
      <c r="H535" s="2">
        <v>1921</v>
      </c>
      <c r="I535" s="1">
        <v>0.13</v>
      </c>
      <c r="J535" s="2">
        <v>1671.27</v>
      </c>
      <c r="K535" s="1">
        <v>44135</v>
      </c>
      <c r="L535" s="1">
        <v>44135</v>
      </c>
      <c r="M535">
        <v>534</v>
      </c>
      <c r="N535">
        <v>7</v>
      </c>
      <c r="O535" t="s">
        <v>27</v>
      </c>
      <c r="P535" s="3">
        <v>7.0000000000000007E-2</v>
      </c>
      <c r="Q535" s="2">
        <v>116.98890000000002</v>
      </c>
      <c r="R535">
        <v>2</v>
      </c>
      <c r="S535" t="str">
        <f t="shared" si="8"/>
        <v>Outubro</v>
      </c>
    </row>
    <row r="536" spans="1:19" hidden="1" x14ac:dyDescent="0.3">
      <c r="A536">
        <v>535</v>
      </c>
      <c r="B536" s="1">
        <v>44118</v>
      </c>
      <c r="C536">
        <v>13</v>
      </c>
      <c r="D536" t="s">
        <v>62</v>
      </c>
      <c r="E536" t="s">
        <v>101</v>
      </c>
      <c r="F536">
        <v>19</v>
      </c>
      <c r="G536" s="2">
        <v>109</v>
      </c>
      <c r="H536" s="2">
        <v>2071</v>
      </c>
      <c r="I536" s="1">
        <v>0.11</v>
      </c>
      <c r="J536" s="2">
        <v>1843.19</v>
      </c>
      <c r="K536" s="1">
        <v>44144</v>
      </c>
      <c r="L536" s="1">
        <v>44144</v>
      </c>
      <c r="M536">
        <v>535</v>
      </c>
      <c r="N536">
        <v>5</v>
      </c>
      <c r="O536" t="s">
        <v>27</v>
      </c>
      <c r="P536" s="3">
        <v>0.1</v>
      </c>
      <c r="Q536" s="2">
        <v>184.31900000000002</v>
      </c>
      <c r="R536">
        <v>3</v>
      </c>
      <c r="S536" t="str">
        <f t="shared" si="8"/>
        <v>Outubro</v>
      </c>
    </row>
    <row r="537" spans="1:19" hidden="1" x14ac:dyDescent="0.3">
      <c r="A537">
        <v>536</v>
      </c>
      <c r="B537" s="1">
        <v>44118</v>
      </c>
      <c r="C537">
        <v>40</v>
      </c>
      <c r="D537" t="s">
        <v>40</v>
      </c>
      <c r="E537" t="s">
        <v>95</v>
      </c>
      <c r="F537">
        <v>12</v>
      </c>
      <c r="G537" s="2">
        <v>103</v>
      </c>
      <c r="H537" s="2">
        <v>1236</v>
      </c>
      <c r="I537" s="1">
        <v>0.06</v>
      </c>
      <c r="J537" s="2">
        <v>1161.8399999999999</v>
      </c>
      <c r="K537" s="1">
        <v>44142</v>
      </c>
      <c r="L537" s="1">
        <v>44142</v>
      </c>
      <c r="M537">
        <v>536</v>
      </c>
      <c r="N537">
        <v>7</v>
      </c>
      <c r="O537" t="s">
        <v>38</v>
      </c>
      <c r="P537" s="3">
        <v>0.1</v>
      </c>
      <c r="Q537" s="2">
        <v>116.184</v>
      </c>
      <c r="R537">
        <v>4</v>
      </c>
      <c r="S537" t="str">
        <f t="shared" si="8"/>
        <v>Outubro</v>
      </c>
    </row>
    <row r="538" spans="1:19" hidden="1" x14ac:dyDescent="0.3">
      <c r="A538">
        <v>537</v>
      </c>
      <c r="B538" s="1">
        <v>44118</v>
      </c>
      <c r="C538">
        <v>62</v>
      </c>
      <c r="D538" t="s">
        <v>31</v>
      </c>
      <c r="E538" t="s">
        <v>95</v>
      </c>
      <c r="F538">
        <v>15</v>
      </c>
      <c r="G538" s="2">
        <v>92</v>
      </c>
      <c r="H538" s="2">
        <v>1380</v>
      </c>
      <c r="I538" s="1">
        <v>0.12</v>
      </c>
      <c r="J538" s="2">
        <v>1214.4000000000001</v>
      </c>
      <c r="K538" s="1">
        <v>44144</v>
      </c>
      <c r="L538" s="1">
        <v>44144</v>
      </c>
      <c r="M538">
        <v>537</v>
      </c>
      <c r="N538">
        <v>6</v>
      </c>
      <c r="O538" t="s">
        <v>56</v>
      </c>
      <c r="P538" s="3">
        <v>0.09</v>
      </c>
      <c r="Q538" s="2">
        <v>109.29600000000001</v>
      </c>
      <c r="R538">
        <v>5</v>
      </c>
      <c r="S538" t="str">
        <f t="shared" si="8"/>
        <v>Outubro</v>
      </c>
    </row>
    <row r="539" spans="1:19" hidden="1" x14ac:dyDescent="0.3">
      <c r="A539">
        <v>538</v>
      </c>
      <c r="B539" s="1">
        <v>44119</v>
      </c>
      <c r="C539">
        <v>39</v>
      </c>
      <c r="D539" t="s">
        <v>31</v>
      </c>
      <c r="E539" t="s">
        <v>103</v>
      </c>
      <c r="F539">
        <v>49</v>
      </c>
      <c r="G539" s="2">
        <v>113</v>
      </c>
      <c r="H539" s="2">
        <v>5537</v>
      </c>
      <c r="I539" s="1">
        <v>0.09</v>
      </c>
      <c r="J539" s="2">
        <v>5038.67</v>
      </c>
      <c r="K539" s="1">
        <v>44124</v>
      </c>
      <c r="L539" s="1">
        <v>44124</v>
      </c>
      <c r="M539">
        <v>538</v>
      </c>
      <c r="N539">
        <v>2</v>
      </c>
      <c r="O539" t="s">
        <v>27</v>
      </c>
      <c r="P539" s="3">
        <v>0.09</v>
      </c>
      <c r="Q539" s="2">
        <v>453.4803</v>
      </c>
      <c r="R539">
        <v>6</v>
      </c>
      <c r="S539" t="str">
        <f t="shared" si="8"/>
        <v>Outubro</v>
      </c>
    </row>
    <row r="540" spans="1:19" hidden="1" x14ac:dyDescent="0.3">
      <c r="A540">
        <v>539</v>
      </c>
      <c r="B540" s="1">
        <v>44119</v>
      </c>
      <c r="C540">
        <v>76</v>
      </c>
      <c r="D540" t="s">
        <v>91</v>
      </c>
      <c r="E540" t="s">
        <v>97</v>
      </c>
      <c r="F540">
        <v>15</v>
      </c>
      <c r="G540" s="2">
        <v>102</v>
      </c>
      <c r="H540" s="2">
        <v>1530</v>
      </c>
      <c r="I540" s="1">
        <v>0.06</v>
      </c>
      <c r="J540" s="2">
        <v>1438.2</v>
      </c>
      <c r="K540" s="1">
        <v>44135</v>
      </c>
      <c r="L540" s="1">
        <v>44135</v>
      </c>
      <c r="M540">
        <v>539</v>
      </c>
      <c r="N540">
        <v>2</v>
      </c>
      <c r="O540" t="s">
        <v>20</v>
      </c>
      <c r="P540" s="3">
        <v>0.1</v>
      </c>
      <c r="Q540" s="2">
        <v>143.82000000000002</v>
      </c>
      <c r="R540">
        <v>7</v>
      </c>
      <c r="S540" t="str">
        <f t="shared" si="8"/>
        <v>Outubro</v>
      </c>
    </row>
    <row r="541" spans="1:19" x14ac:dyDescent="0.3">
      <c r="A541">
        <v>540</v>
      </c>
      <c r="B541" s="1">
        <v>44121</v>
      </c>
      <c r="C541">
        <v>54</v>
      </c>
      <c r="D541" t="s">
        <v>66</v>
      </c>
      <c r="E541" t="s">
        <v>102</v>
      </c>
      <c r="F541">
        <v>18</v>
      </c>
      <c r="G541" s="2">
        <v>94</v>
      </c>
      <c r="H541" s="2">
        <v>1692</v>
      </c>
      <c r="I541" s="1">
        <v>0.12</v>
      </c>
      <c r="J541" s="2">
        <v>1488.96</v>
      </c>
      <c r="K541" s="1">
        <v>44136</v>
      </c>
      <c r="L541" s="1">
        <v>44136</v>
      </c>
      <c r="M541">
        <v>540</v>
      </c>
      <c r="N541">
        <v>7</v>
      </c>
      <c r="O541" t="s">
        <v>35</v>
      </c>
      <c r="P541" s="3">
        <v>0.06</v>
      </c>
      <c r="Q541" s="2">
        <v>89.337599999999995</v>
      </c>
      <c r="R541">
        <v>1</v>
      </c>
      <c r="S541" t="str">
        <f t="shared" si="8"/>
        <v>Outubro</v>
      </c>
    </row>
    <row r="542" spans="1:19" hidden="1" x14ac:dyDescent="0.3">
      <c r="A542">
        <v>541</v>
      </c>
      <c r="B542" s="1">
        <v>44121</v>
      </c>
      <c r="C542">
        <v>6</v>
      </c>
      <c r="D542" t="s">
        <v>75</v>
      </c>
      <c r="E542" t="s">
        <v>99</v>
      </c>
      <c r="F542">
        <v>28</v>
      </c>
      <c r="G542" s="2">
        <v>102</v>
      </c>
      <c r="H542" s="2">
        <v>2856</v>
      </c>
      <c r="I542" s="1">
        <v>0.08</v>
      </c>
      <c r="J542" s="2">
        <v>2627.52</v>
      </c>
      <c r="K542" s="1">
        <v>44151</v>
      </c>
      <c r="L542" s="1">
        <v>44151</v>
      </c>
      <c r="M542">
        <v>541</v>
      </c>
      <c r="N542">
        <v>2</v>
      </c>
      <c r="O542" t="s">
        <v>27</v>
      </c>
      <c r="P542" s="3">
        <v>7.0000000000000007E-2</v>
      </c>
      <c r="Q542" s="2">
        <v>183.92640000000003</v>
      </c>
      <c r="R542">
        <v>2</v>
      </c>
      <c r="S542" t="str">
        <f t="shared" si="8"/>
        <v>Outubro</v>
      </c>
    </row>
    <row r="543" spans="1:19" hidden="1" x14ac:dyDescent="0.3">
      <c r="A543">
        <v>542</v>
      </c>
      <c r="B543" s="1">
        <v>44121</v>
      </c>
      <c r="C543">
        <v>52</v>
      </c>
      <c r="D543" t="s">
        <v>19</v>
      </c>
      <c r="E543" t="s">
        <v>99</v>
      </c>
      <c r="F543">
        <v>32</v>
      </c>
      <c r="G543" s="2">
        <v>97</v>
      </c>
      <c r="H543" s="2">
        <v>3104</v>
      </c>
      <c r="I543" s="1">
        <v>0</v>
      </c>
      <c r="J543" s="2">
        <v>3104</v>
      </c>
      <c r="K543" s="1">
        <v>44140</v>
      </c>
      <c r="L543" s="1">
        <v>44140</v>
      </c>
      <c r="M543">
        <v>542</v>
      </c>
      <c r="N543">
        <v>5</v>
      </c>
      <c r="O543" t="s">
        <v>23</v>
      </c>
      <c r="P543" s="3">
        <v>7.0000000000000007E-2</v>
      </c>
      <c r="Q543" s="2">
        <v>217.28000000000003</v>
      </c>
      <c r="R543">
        <v>3</v>
      </c>
      <c r="S543" t="str">
        <f t="shared" si="8"/>
        <v>Outubro</v>
      </c>
    </row>
    <row r="544" spans="1:19" hidden="1" x14ac:dyDescent="0.3">
      <c r="A544">
        <v>543</v>
      </c>
      <c r="B544" s="1">
        <v>44121</v>
      </c>
      <c r="C544">
        <v>99</v>
      </c>
      <c r="D544" t="s">
        <v>71</v>
      </c>
      <c r="E544" t="s">
        <v>97</v>
      </c>
      <c r="F544">
        <v>29</v>
      </c>
      <c r="G544" s="2">
        <v>102</v>
      </c>
      <c r="H544" s="2">
        <v>2958</v>
      </c>
      <c r="I544" s="1">
        <v>0.15</v>
      </c>
      <c r="J544" s="2">
        <v>2514.3000000000002</v>
      </c>
      <c r="K544" s="1">
        <v>44130</v>
      </c>
      <c r="L544" s="1">
        <v>44130</v>
      </c>
      <c r="M544">
        <v>543</v>
      </c>
      <c r="N544">
        <v>6</v>
      </c>
      <c r="O544" t="s">
        <v>42</v>
      </c>
      <c r="P544" s="3">
        <v>0.09</v>
      </c>
      <c r="Q544" s="2">
        <v>226.28700000000001</v>
      </c>
      <c r="R544">
        <v>4</v>
      </c>
      <c r="S544" t="str">
        <f t="shared" si="8"/>
        <v>Outubro</v>
      </c>
    </row>
    <row r="545" spans="1:19" hidden="1" x14ac:dyDescent="0.3">
      <c r="A545">
        <v>544</v>
      </c>
      <c r="B545" s="1">
        <v>44122</v>
      </c>
      <c r="C545">
        <v>18</v>
      </c>
      <c r="D545" t="s">
        <v>70</v>
      </c>
      <c r="E545" t="s">
        <v>96</v>
      </c>
      <c r="F545">
        <v>29</v>
      </c>
      <c r="G545" s="2">
        <v>119</v>
      </c>
      <c r="H545" s="2">
        <v>3451</v>
      </c>
      <c r="I545" s="1">
        <v>0.12</v>
      </c>
      <c r="J545" s="2">
        <v>3036.88</v>
      </c>
      <c r="K545" s="1">
        <v>44136</v>
      </c>
      <c r="L545" s="1">
        <v>44136</v>
      </c>
      <c r="M545">
        <v>544</v>
      </c>
      <c r="N545">
        <v>4</v>
      </c>
      <c r="O545" t="s">
        <v>25</v>
      </c>
      <c r="P545" s="3">
        <v>0.06</v>
      </c>
      <c r="Q545" s="2">
        <v>182.21279999999999</v>
      </c>
      <c r="R545">
        <v>5</v>
      </c>
      <c r="S545" t="str">
        <f t="shared" si="8"/>
        <v>Outubro</v>
      </c>
    </row>
    <row r="546" spans="1:19" x14ac:dyDescent="0.3">
      <c r="A546">
        <v>545</v>
      </c>
      <c r="B546" s="1">
        <v>44123</v>
      </c>
      <c r="C546">
        <v>22</v>
      </c>
      <c r="D546" t="s">
        <v>41</v>
      </c>
      <c r="E546" t="s">
        <v>96</v>
      </c>
      <c r="F546">
        <v>24</v>
      </c>
      <c r="G546" s="2">
        <v>103</v>
      </c>
      <c r="H546" s="2">
        <v>2472</v>
      </c>
      <c r="I546" s="1">
        <v>0.05</v>
      </c>
      <c r="J546" s="2">
        <v>2348.4</v>
      </c>
      <c r="K546" s="1">
        <v>44148</v>
      </c>
      <c r="L546" s="1">
        <v>44148</v>
      </c>
      <c r="M546">
        <v>545</v>
      </c>
      <c r="N546">
        <v>5</v>
      </c>
      <c r="O546" t="s">
        <v>35</v>
      </c>
      <c r="P546" s="3">
        <v>0.09</v>
      </c>
      <c r="Q546" s="2">
        <v>211.35599999999999</v>
      </c>
      <c r="R546">
        <v>6</v>
      </c>
      <c r="S546" t="str">
        <f t="shared" si="8"/>
        <v>Outubro</v>
      </c>
    </row>
    <row r="547" spans="1:19" hidden="1" x14ac:dyDescent="0.3">
      <c r="A547">
        <v>546</v>
      </c>
      <c r="B547" s="1">
        <v>44124</v>
      </c>
      <c r="C547">
        <v>62</v>
      </c>
      <c r="D547" t="s">
        <v>31</v>
      </c>
      <c r="E547" t="s">
        <v>98</v>
      </c>
      <c r="F547">
        <v>28</v>
      </c>
      <c r="G547" s="2">
        <v>107</v>
      </c>
      <c r="H547" s="2">
        <v>2996</v>
      </c>
      <c r="I547" s="1">
        <v>0.04</v>
      </c>
      <c r="J547" s="2">
        <v>2876.16</v>
      </c>
      <c r="K547" s="1">
        <v>44144</v>
      </c>
      <c r="L547" s="1">
        <v>44144</v>
      </c>
      <c r="M547">
        <v>546</v>
      </c>
      <c r="N547">
        <v>7</v>
      </c>
      <c r="O547" t="s">
        <v>18</v>
      </c>
      <c r="P547" s="3">
        <v>0.06</v>
      </c>
      <c r="Q547" s="2">
        <v>172.56959999999998</v>
      </c>
      <c r="R547">
        <v>7</v>
      </c>
      <c r="S547" t="str">
        <f t="shared" si="8"/>
        <v>Outubro</v>
      </c>
    </row>
    <row r="548" spans="1:19" hidden="1" x14ac:dyDescent="0.3">
      <c r="A548">
        <v>547</v>
      </c>
      <c r="B548" s="1">
        <v>44124</v>
      </c>
      <c r="C548">
        <v>39</v>
      </c>
      <c r="D548" t="s">
        <v>31</v>
      </c>
      <c r="E548" t="s">
        <v>100</v>
      </c>
      <c r="F548">
        <v>33</v>
      </c>
      <c r="G548" s="2">
        <v>90</v>
      </c>
      <c r="H548" s="2">
        <v>2970</v>
      </c>
      <c r="I548" s="1">
        <v>0.08</v>
      </c>
      <c r="J548" s="2">
        <v>2732.4</v>
      </c>
      <c r="K548" s="1">
        <v>44132</v>
      </c>
      <c r="L548" s="1">
        <v>44132</v>
      </c>
      <c r="M548">
        <v>547</v>
      </c>
      <c r="N548">
        <v>3</v>
      </c>
      <c r="O548" t="s">
        <v>20</v>
      </c>
      <c r="P548" s="3">
        <v>0.06</v>
      </c>
      <c r="Q548" s="2">
        <v>163.94399999999999</v>
      </c>
      <c r="R548">
        <v>1</v>
      </c>
      <c r="S548" t="str">
        <f t="shared" si="8"/>
        <v>Outubro</v>
      </c>
    </row>
    <row r="549" spans="1:19" hidden="1" x14ac:dyDescent="0.3">
      <c r="A549">
        <v>548</v>
      </c>
      <c r="B549" s="1">
        <v>44124</v>
      </c>
      <c r="C549">
        <v>66</v>
      </c>
      <c r="D549" t="s">
        <v>24</v>
      </c>
      <c r="E549" t="s">
        <v>95</v>
      </c>
      <c r="F549">
        <v>11</v>
      </c>
      <c r="G549" s="2">
        <v>113</v>
      </c>
      <c r="H549" s="2">
        <v>1243</v>
      </c>
      <c r="I549" s="1">
        <v>0.06</v>
      </c>
      <c r="J549" s="2">
        <v>1168.42</v>
      </c>
      <c r="K549" s="1">
        <v>44124</v>
      </c>
      <c r="L549" s="1">
        <v>44124</v>
      </c>
      <c r="M549">
        <v>548</v>
      </c>
      <c r="N549">
        <v>6</v>
      </c>
      <c r="O549" t="s">
        <v>23</v>
      </c>
      <c r="P549" s="3">
        <v>0.06</v>
      </c>
      <c r="Q549" s="2">
        <v>70.105199999999996</v>
      </c>
      <c r="R549">
        <v>2</v>
      </c>
      <c r="S549" t="str">
        <f t="shared" si="8"/>
        <v>Outubro</v>
      </c>
    </row>
    <row r="550" spans="1:19" hidden="1" x14ac:dyDescent="0.3">
      <c r="A550">
        <v>549</v>
      </c>
      <c r="B550" s="1">
        <v>44125</v>
      </c>
      <c r="C550">
        <v>42</v>
      </c>
      <c r="D550" t="s">
        <v>79</v>
      </c>
      <c r="E550" t="s">
        <v>100</v>
      </c>
      <c r="F550">
        <v>36</v>
      </c>
      <c r="G550" s="2">
        <v>117</v>
      </c>
      <c r="H550" s="2">
        <v>4212</v>
      </c>
      <c r="I550" s="1">
        <v>0.14000000000000001</v>
      </c>
      <c r="J550" s="2">
        <v>3622.3199999999997</v>
      </c>
      <c r="K550" s="1">
        <v>44126</v>
      </c>
      <c r="L550" s="1">
        <v>44126</v>
      </c>
      <c r="M550">
        <v>549</v>
      </c>
      <c r="N550">
        <v>1</v>
      </c>
      <c r="O550" t="s">
        <v>25</v>
      </c>
      <c r="P550" s="3">
        <v>7.0000000000000007E-2</v>
      </c>
      <c r="Q550" s="2">
        <v>253.5624</v>
      </c>
      <c r="R550">
        <v>3</v>
      </c>
      <c r="S550" t="str">
        <f t="shared" si="8"/>
        <v>Outubro</v>
      </c>
    </row>
    <row r="551" spans="1:19" hidden="1" x14ac:dyDescent="0.3">
      <c r="A551">
        <v>550</v>
      </c>
      <c r="B551" s="1">
        <v>44125</v>
      </c>
      <c r="C551">
        <v>81</v>
      </c>
      <c r="D551" t="s">
        <v>90</v>
      </c>
      <c r="E551" t="s">
        <v>101</v>
      </c>
      <c r="F551">
        <v>26</v>
      </c>
      <c r="G551" s="2">
        <v>98</v>
      </c>
      <c r="H551" s="2">
        <v>2548</v>
      </c>
      <c r="I551" s="1">
        <v>0.14000000000000001</v>
      </c>
      <c r="J551" s="2">
        <v>2191.2799999999997</v>
      </c>
      <c r="K551" s="1">
        <v>44136</v>
      </c>
      <c r="L551" s="1">
        <v>44136</v>
      </c>
      <c r="M551">
        <v>550</v>
      </c>
      <c r="N551">
        <v>5</v>
      </c>
      <c r="O551" t="s">
        <v>30</v>
      </c>
      <c r="P551" s="3">
        <v>0.09</v>
      </c>
      <c r="Q551" s="2">
        <v>197.21519999999998</v>
      </c>
      <c r="R551">
        <v>4</v>
      </c>
      <c r="S551" t="str">
        <f t="shared" si="8"/>
        <v>Outubro</v>
      </c>
    </row>
    <row r="552" spans="1:19" hidden="1" x14ac:dyDescent="0.3">
      <c r="A552">
        <v>551</v>
      </c>
      <c r="B552" s="1">
        <v>44129</v>
      </c>
      <c r="C552">
        <v>42</v>
      </c>
      <c r="D552" t="s">
        <v>79</v>
      </c>
      <c r="E552" t="s">
        <v>99</v>
      </c>
      <c r="F552">
        <v>24</v>
      </c>
      <c r="G552" s="2">
        <v>104</v>
      </c>
      <c r="H552" s="2">
        <v>2496</v>
      </c>
      <c r="I552" s="1">
        <v>0.11</v>
      </c>
      <c r="J552" s="2">
        <v>2221.44</v>
      </c>
      <c r="K552" s="1">
        <v>44143</v>
      </c>
      <c r="L552" s="1">
        <v>44143</v>
      </c>
      <c r="M552">
        <v>551</v>
      </c>
      <c r="N552">
        <v>4</v>
      </c>
      <c r="O552" t="s">
        <v>42</v>
      </c>
      <c r="P552" s="3">
        <v>0.1</v>
      </c>
      <c r="Q552" s="2">
        <v>222.14400000000001</v>
      </c>
      <c r="R552">
        <v>5</v>
      </c>
      <c r="S552" t="str">
        <f t="shared" si="8"/>
        <v>Outubro</v>
      </c>
    </row>
    <row r="553" spans="1:19" hidden="1" x14ac:dyDescent="0.3">
      <c r="A553">
        <v>552</v>
      </c>
      <c r="B553" s="1">
        <v>44130</v>
      </c>
      <c r="C553">
        <v>35</v>
      </c>
      <c r="D553" t="s">
        <v>31</v>
      </c>
      <c r="E553" t="s">
        <v>98</v>
      </c>
      <c r="F553">
        <v>41</v>
      </c>
      <c r="G553" s="2">
        <v>120</v>
      </c>
      <c r="H553" s="2">
        <v>4920</v>
      </c>
      <c r="I553" s="1">
        <v>0.04</v>
      </c>
      <c r="J553" s="2">
        <v>4723.2</v>
      </c>
      <c r="K553" s="1">
        <v>44146</v>
      </c>
      <c r="L553" s="1">
        <v>44146</v>
      </c>
      <c r="M553">
        <v>552</v>
      </c>
      <c r="N553">
        <v>5</v>
      </c>
      <c r="O553" t="s">
        <v>56</v>
      </c>
      <c r="P553" s="3">
        <v>0.06</v>
      </c>
      <c r="Q553" s="2">
        <v>283.392</v>
      </c>
      <c r="R553">
        <v>6</v>
      </c>
      <c r="S553" t="str">
        <f t="shared" si="8"/>
        <v>Outubro</v>
      </c>
    </row>
    <row r="554" spans="1:19" hidden="1" x14ac:dyDescent="0.3">
      <c r="A554">
        <v>553</v>
      </c>
      <c r="B554" s="1">
        <v>44130</v>
      </c>
      <c r="C554">
        <v>32</v>
      </c>
      <c r="D554" t="s">
        <v>64</v>
      </c>
      <c r="E554" t="s">
        <v>99</v>
      </c>
      <c r="F554">
        <v>15</v>
      </c>
      <c r="G554" s="2">
        <v>114</v>
      </c>
      <c r="H554" s="2">
        <v>1710</v>
      </c>
      <c r="I554" s="1">
        <v>0.06</v>
      </c>
      <c r="J554" s="2">
        <v>1607.4</v>
      </c>
      <c r="K554" s="1">
        <v>44155</v>
      </c>
      <c r="L554" s="1">
        <v>44155</v>
      </c>
      <c r="M554">
        <v>553</v>
      </c>
      <c r="N554">
        <v>7</v>
      </c>
      <c r="O554" t="s">
        <v>42</v>
      </c>
      <c r="P554" s="3">
        <v>0.08</v>
      </c>
      <c r="Q554" s="2">
        <v>128.59200000000001</v>
      </c>
      <c r="R554">
        <v>7</v>
      </c>
      <c r="S554" t="str">
        <f t="shared" si="8"/>
        <v>Outubro</v>
      </c>
    </row>
    <row r="555" spans="1:19" x14ac:dyDescent="0.3">
      <c r="A555">
        <v>554</v>
      </c>
      <c r="B555" s="1">
        <v>44131</v>
      </c>
      <c r="C555">
        <v>73</v>
      </c>
      <c r="D555" t="s">
        <v>31</v>
      </c>
      <c r="E555" t="s">
        <v>95</v>
      </c>
      <c r="F555">
        <v>14</v>
      </c>
      <c r="G555" s="2">
        <v>94</v>
      </c>
      <c r="H555" s="2">
        <v>1316</v>
      </c>
      <c r="I555" s="1">
        <v>0.03</v>
      </c>
      <c r="J555" s="2">
        <v>1276.52</v>
      </c>
      <c r="K555" s="1">
        <v>44150</v>
      </c>
      <c r="L555" s="1">
        <v>44150</v>
      </c>
      <c r="M555">
        <v>554</v>
      </c>
      <c r="N555">
        <v>2</v>
      </c>
      <c r="O555" t="s">
        <v>35</v>
      </c>
      <c r="P555" s="3">
        <v>0.05</v>
      </c>
      <c r="Q555" s="2">
        <v>63.826000000000001</v>
      </c>
      <c r="R555">
        <v>1</v>
      </c>
      <c r="S555" t="str">
        <f t="shared" si="8"/>
        <v>Outubro</v>
      </c>
    </row>
    <row r="556" spans="1:19" hidden="1" x14ac:dyDescent="0.3">
      <c r="A556">
        <v>555</v>
      </c>
      <c r="B556" s="1">
        <v>44131</v>
      </c>
      <c r="C556">
        <v>18</v>
      </c>
      <c r="D556" t="s">
        <v>70</v>
      </c>
      <c r="E556" t="s">
        <v>99</v>
      </c>
      <c r="F556">
        <v>25</v>
      </c>
      <c r="G556" s="2">
        <v>98</v>
      </c>
      <c r="H556" s="2">
        <v>2450</v>
      </c>
      <c r="I556" s="1">
        <v>0.1</v>
      </c>
      <c r="J556" s="2">
        <v>2205</v>
      </c>
      <c r="K556" s="1">
        <v>44140</v>
      </c>
      <c r="L556" s="1">
        <v>44140</v>
      </c>
      <c r="M556">
        <v>555</v>
      </c>
      <c r="N556">
        <v>7</v>
      </c>
      <c r="O556" t="s">
        <v>27</v>
      </c>
      <c r="P556" s="3">
        <v>0.09</v>
      </c>
      <c r="Q556" s="2">
        <v>198.45</v>
      </c>
      <c r="R556">
        <v>2</v>
      </c>
      <c r="S556" t="str">
        <f t="shared" si="8"/>
        <v>Outubro</v>
      </c>
    </row>
    <row r="557" spans="1:19" x14ac:dyDescent="0.3">
      <c r="A557">
        <v>556</v>
      </c>
      <c r="B557" s="1">
        <v>44132</v>
      </c>
      <c r="C557">
        <v>27</v>
      </c>
      <c r="D557" t="s">
        <v>88</v>
      </c>
      <c r="E557" t="s">
        <v>96</v>
      </c>
      <c r="F557">
        <v>43</v>
      </c>
      <c r="G557" s="2">
        <v>101</v>
      </c>
      <c r="H557" s="2">
        <v>4343</v>
      </c>
      <c r="I557" s="1">
        <v>0.13</v>
      </c>
      <c r="J557" s="2">
        <v>3778.41</v>
      </c>
      <c r="K557" s="1">
        <v>44152</v>
      </c>
      <c r="L557" s="1">
        <v>44152</v>
      </c>
      <c r="M557">
        <v>556</v>
      </c>
      <c r="N557">
        <v>2</v>
      </c>
      <c r="O557" t="s">
        <v>35</v>
      </c>
      <c r="P557" s="3">
        <v>0.1</v>
      </c>
      <c r="Q557" s="2">
        <v>377.84100000000001</v>
      </c>
      <c r="R557">
        <v>3</v>
      </c>
      <c r="S557" t="str">
        <f t="shared" si="8"/>
        <v>Outubro</v>
      </c>
    </row>
    <row r="558" spans="1:19" hidden="1" x14ac:dyDescent="0.3">
      <c r="A558">
        <v>557</v>
      </c>
      <c r="B558" s="1">
        <v>44133</v>
      </c>
      <c r="C558">
        <v>86</v>
      </c>
      <c r="D558" t="s">
        <v>77</v>
      </c>
      <c r="E558" t="s">
        <v>104</v>
      </c>
      <c r="F558">
        <v>45</v>
      </c>
      <c r="G558" s="2">
        <v>108</v>
      </c>
      <c r="H558" s="2">
        <v>4860</v>
      </c>
      <c r="I558" s="1">
        <v>0.06</v>
      </c>
      <c r="J558" s="2">
        <v>4568.3999999999996</v>
      </c>
      <c r="K558" s="1">
        <v>44138</v>
      </c>
      <c r="L558" s="1">
        <v>44138</v>
      </c>
      <c r="M558">
        <v>557</v>
      </c>
      <c r="N558">
        <v>3</v>
      </c>
      <c r="O558" t="s">
        <v>18</v>
      </c>
      <c r="P558" s="3">
        <v>0.1</v>
      </c>
      <c r="Q558" s="2">
        <v>456.84</v>
      </c>
      <c r="R558">
        <v>4</v>
      </c>
      <c r="S558" t="str">
        <f t="shared" si="8"/>
        <v>Outubro</v>
      </c>
    </row>
    <row r="559" spans="1:19" x14ac:dyDescent="0.3">
      <c r="A559">
        <v>558</v>
      </c>
      <c r="B559" s="1">
        <v>44133</v>
      </c>
      <c r="C559">
        <v>18</v>
      </c>
      <c r="D559" t="s">
        <v>70</v>
      </c>
      <c r="E559" t="s">
        <v>99</v>
      </c>
      <c r="F559">
        <v>38</v>
      </c>
      <c r="G559" s="2">
        <v>97</v>
      </c>
      <c r="H559" s="2">
        <v>3686</v>
      </c>
      <c r="I559" s="1">
        <v>0.09</v>
      </c>
      <c r="J559" s="2">
        <v>3354.26</v>
      </c>
      <c r="K559" s="1">
        <v>44144</v>
      </c>
      <c r="L559" s="1">
        <v>44144</v>
      </c>
      <c r="M559">
        <v>558</v>
      </c>
      <c r="N559">
        <v>7</v>
      </c>
      <c r="O559" t="s">
        <v>35</v>
      </c>
      <c r="P559" s="3">
        <v>7.0000000000000007E-2</v>
      </c>
      <c r="Q559" s="2">
        <v>234.79820000000004</v>
      </c>
      <c r="R559">
        <v>5</v>
      </c>
      <c r="S559" t="str">
        <f t="shared" si="8"/>
        <v>Outubro</v>
      </c>
    </row>
    <row r="560" spans="1:19" hidden="1" x14ac:dyDescent="0.3">
      <c r="A560">
        <v>559</v>
      </c>
      <c r="B560" s="1">
        <v>44133</v>
      </c>
      <c r="C560">
        <v>73</v>
      </c>
      <c r="D560" t="s">
        <v>31</v>
      </c>
      <c r="E560" t="s">
        <v>103</v>
      </c>
      <c r="F560">
        <v>31</v>
      </c>
      <c r="G560" s="2">
        <v>113</v>
      </c>
      <c r="H560" s="2">
        <v>3503</v>
      </c>
      <c r="I560" s="1">
        <v>0</v>
      </c>
      <c r="J560" s="2">
        <v>3503</v>
      </c>
      <c r="K560" s="1">
        <v>44158</v>
      </c>
      <c r="L560" s="1">
        <v>44158</v>
      </c>
      <c r="M560">
        <v>559</v>
      </c>
      <c r="N560">
        <v>3</v>
      </c>
      <c r="O560" t="s">
        <v>23</v>
      </c>
      <c r="P560" s="3">
        <v>0.08</v>
      </c>
      <c r="Q560" s="2">
        <v>280.24</v>
      </c>
      <c r="R560">
        <v>6</v>
      </c>
      <c r="S560" t="str">
        <f t="shared" si="8"/>
        <v>Outubro</v>
      </c>
    </row>
    <row r="561" spans="1:19" hidden="1" x14ac:dyDescent="0.3">
      <c r="A561">
        <v>560</v>
      </c>
      <c r="B561" s="1">
        <v>44134</v>
      </c>
      <c r="C561">
        <v>83</v>
      </c>
      <c r="D561" t="s">
        <v>87</v>
      </c>
      <c r="E561" t="s">
        <v>104</v>
      </c>
      <c r="F561">
        <v>12</v>
      </c>
      <c r="G561" s="2">
        <v>114</v>
      </c>
      <c r="H561" s="2">
        <v>1368</v>
      </c>
      <c r="I561" s="1">
        <v>0.08</v>
      </c>
      <c r="J561" s="2">
        <v>1258.56</v>
      </c>
      <c r="K561" s="1">
        <v>44161</v>
      </c>
      <c r="L561" s="1">
        <v>44161</v>
      </c>
      <c r="M561">
        <v>560</v>
      </c>
      <c r="N561">
        <v>1</v>
      </c>
      <c r="O561" t="s">
        <v>27</v>
      </c>
      <c r="P561" s="3">
        <v>7.0000000000000007E-2</v>
      </c>
      <c r="Q561" s="2">
        <v>88.09920000000001</v>
      </c>
      <c r="R561">
        <v>7</v>
      </c>
      <c r="S561" t="str">
        <f t="shared" si="8"/>
        <v>Outubro</v>
      </c>
    </row>
    <row r="562" spans="1:19" hidden="1" x14ac:dyDescent="0.3">
      <c r="A562">
        <v>561</v>
      </c>
      <c r="B562" s="1">
        <v>44134</v>
      </c>
      <c r="C562">
        <v>93</v>
      </c>
      <c r="D562" t="s">
        <v>26</v>
      </c>
      <c r="E562" t="s">
        <v>95</v>
      </c>
      <c r="F562">
        <v>40</v>
      </c>
      <c r="G562" s="2">
        <v>92</v>
      </c>
      <c r="H562" s="2">
        <v>3680</v>
      </c>
      <c r="I562" s="1">
        <v>0.13</v>
      </c>
      <c r="J562" s="2">
        <v>3201.6</v>
      </c>
      <c r="K562" s="1">
        <v>44148</v>
      </c>
      <c r="L562" s="1">
        <v>44148</v>
      </c>
      <c r="M562">
        <v>561</v>
      </c>
      <c r="N562">
        <v>5</v>
      </c>
      <c r="O562" t="s">
        <v>56</v>
      </c>
      <c r="P562" s="3">
        <v>0.1</v>
      </c>
      <c r="Q562" s="2">
        <v>320.16000000000003</v>
      </c>
      <c r="R562">
        <v>1</v>
      </c>
      <c r="S562" t="str">
        <f t="shared" si="8"/>
        <v>Outubro</v>
      </c>
    </row>
    <row r="563" spans="1:19" hidden="1" x14ac:dyDescent="0.3">
      <c r="A563">
        <v>562</v>
      </c>
      <c r="B563" s="1">
        <v>44136</v>
      </c>
      <c r="C563">
        <v>97</v>
      </c>
      <c r="D563" t="s">
        <v>53</v>
      </c>
      <c r="E563" t="s">
        <v>95</v>
      </c>
      <c r="F563">
        <v>26</v>
      </c>
      <c r="G563" s="2">
        <v>115</v>
      </c>
      <c r="H563" s="2">
        <v>2990</v>
      </c>
      <c r="I563" s="1">
        <v>0.12</v>
      </c>
      <c r="J563" s="2">
        <v>2631.2</v>
      </c>
      <c r="K563" s="1">
        <v>44162</v>
      </c>
      <c r="L563" s="1">
        <v>44162</v>
      </c>
      <c r="M563">
        <v>562</v>
      </c>
      <c r="N563">
        <v>2</v>
      </c>
      <c r="O563" t="s">
        <v>25</v>
      </c>
      <c r="P563" s="3">
        <v>0.06</v>
      </c>
      <c r="Q563" s="2">
        <v>157.87199999999999</v>
      </c>
      <c r="R563">
        <v>2</v>
      </c>
      <c r="S563" t="str">
        <f t="shared" si="8"/>
        <v>Novembro</v>
      </c>
    </row>
    <row r="564" spans="1:19" hidden="1" x14ac:dyDescent="0.3">
      <c r="A564">
        <v>563</v>
      </c>
      <c r="B564" s="1">
        <v>44137</v>
      </c>
      <c r="C564">
        <v>57</v>
      </c>
      <c r="D564" t="s">
        <v>76</v>
      </c>
      <c r="E564" t="s">
        <v>98</v>
      </c>
      <c r="F564">
        <v>20</v>
      </c>
      <c r="G564" s="2">
        <v>94</v>
      </c>
      <c r="H564" s="2">
        <v>1880</v>
      </c>
      <c r="I564" s="1">
        <v>0.04</v>
      </c>
      <c r="J564" s="2">
        <v>1804.8</v>
      </c>
      <c r="K564" s="1">
        <v>44151</v>
      </c>
      <c r="L564" s="1">
        <v>44151</v>
      </c>
      <c r="M564">
        <v>563</v>
      </c>
      <c r="N564">
        <v>5</v>
      </c>
      <c r="O564" t="s">
        <v>18</v>
      </c>
      <c r="P564" s="3">
        <v>0.1</v>
      </c>
      <c r="Q564" s="2">
        <v>180.48000000000002</v>
      </c>
      <c r="R564">
        <v>3</v>
      </c>
      <c r="S564" t="str">
        <f t="shared" si="8"/>
        <v>Novembro</v>
      </c>
    </row>
    <row r="565" spans="1:19" hidden="1" x14ac:dyDescent="0.3">
      <c r="A565">
        <v>564</v>
      </c>
      <c r="B565" s="1">
        <v>44138</v>
      </c>
      <c r="C565">
        <v>24</v>
      </c>
      <c r="D565" t="s">
        <v>61</v>
      </c>
      <c r="E565" t="s">
        <v>98</v>
      </c>
      <c r="F565">
        <v>42</v>
      </c>
      <c r="G565" s="2">
        <v>101</v>
      </c>
      <c r="H565" s="2">
        <v>4242</v>
      </c>
      <c r="I565" s="1">
        <v>0.08</v>
      </c>
      <c r="J565" s="2">
        <v>3902.64</v>
      </c>
      <c r="K565" s="1">
        <v>44166</v>
      </c>
      <c r="L565" s="1">
        <v>44166</v>
      </c>
      <c r="M565">
        <v>564</v>
      </c>
      <c r="N565">
        <v>2</v>
      </c>
      <c r="O565" t="s">
        <v>27</v>
      </c>
      <c r="P565" s="3">
        <v>7.0000000000000007E-2</v>
      </c>
      <c r="Q565" s="2">
        <v>273.1848</v>
      </c>
      <c r="R565">
        <v>4</v>
      </c>
      <c r="S565" t="str">
        <f t="shared" si="8"/>
        <v>Novembro</v>
      </c>
    </row>
    <row r="566" spans="1:19" hidden="1" x14ac:dyDescent="0.3">
      <c r="A566">
        <v>565</v>
      </c>
      <c r="B566" s="1">
        <v>44138</v>
      </c>
      <c r="C566">
        <v>34</v>
      </c>
      <c r="D566" t="s">
        <v>46</v>
      </c>
      <c r="E566" t="s">
        <v>97</v>
      </c>
      <c r="F566">
        <v>24</v>
      </c>
      <c r="G566" s="2">
        <v>117</v>
      </c>
      <c r="H566" s="2">
        <v>2808</v>
      </c>
      <c r="I566" s="1">
        <v>0.14000000000000001</v>
      </c>
      <c r="J566" s="2">
        <v>2414.88</v>
      </c>
      <c r="K566" s="1">
        <v>44165</v>
      </c>
      <c r="L566" s="1">
        <v>44165</v>
      </c>
      <c r="M566">
        <v>565</v>
      </c>
      <c r="N566">
        <v>6</v>
      </c>
      <c r="O566" t="s">
        <v>38</v>
      </c>
      <c r="P566" s="3">
        <v>0.1</v>
      </c>
      <c r="Q566" s="2">
        <v>241.48800000000003</v>
      </c>
      <c r="R566">
        <v>5</v>
      </c>
      <c r="S566" t="str">
        <f t="shared" si="8"/>
        <v>Novembro</v>
      </c>
    </row>
    <row r="567" spans="1:19" x14ac:dyDescent="0.3">
      <c r="A567">
        <v>566</v>
      </c>
      <c r="B567" s="1">
        <v>44138</v>
      </c>
      <c r="C567">
        <v>92</v>
      </c>
      <c r="D567" t="s">
        <v>21</v>
      </c>
      <c r="E567" t="s">
        <v>97</v>
      </c>
      <c r="F567">
        <v>15</v>
      </c>
      <c r="G567" s="2">
        <v>116</v>
      </c>
      <c r="H567" s="2">
        <v>1740</v>
      </c>
      <c r="I567" s="1">
        <v>0.01</v>
      </c>
      <c r="J567" s="2">
        <v>1722.6</v>
      </c>
      <c r="K567" s="1">
        <v>44152</v>
      </c>
      <c r="L567" s="1">
        <v>44152</v>
      </c>
      <c r="M567">
        <v>566</v>
      </c>
      <c r="N567">
        <v>6</v>
      </c>
      <c r="O567" t="s">
        <v>35</v>
      </c>
      <c r="P567" s="3">
        <v>0.08</v>
      </c>
      <c r="Q567" s="2">
        <v>137.80799999999999</v>
      </c>
      <c r="R567">
        <v>6</v>
      </c>
      <c r="S567" t="str">
        <f t="shared" si="8"/>
        <v>Novembro</v>
      </c>
    </row>
    <row r="568" spans="1:19" hidden="1" x14ac:dyDescent="0.3">
      <c r="A568">
        <v>567</v>
      </c>
      <c r="B568" s="1">
        <v>44138</v>
      </c>
      <c r="C568">
        <v>25</v>
      </c>
      <c r="D568" t="s">
        <v>50</v>
      </c>
      <c r="E568" t="s">
        <v>98</v>
      </c>
      <c r="F568">
        <v>37</v>
      </c>
      <c r="G568" s="2">
        <v>95</v>
      </c>
      <c r="H568" s="2">
        <v>3515</v>
      </c>
      <c r="I568" s="1">
        <v>0.05</v>
      </c>
      <c r="J568" s="2">
        <v>3339.25</v>
      </c>
      <c r="K568" s="1">
        <v>44164</v>
      </c>
      <c r="L568" s="1">
        <v>44164</v>
      </c>
      <c r="M568">
        <v>567</v>
      </c>
      <c r="N568">
        <v>2</v>
      </c>
      <c r="O568" t="s">
        <v>56</v>
      </c>
      <c r="P568" s="3">
        <v>0.1</v>
      </c>
      <c r="Q568" s="2">
        <v>333.92500000000001</v>
      </c>
      <c r="R568">
        <v>7</v>
      </c>
      <c r="S568" t="str">
        <f t="shared" si="8"/>
        <v>Novembro</v>
      </c>
    </row>
    <row r="569" spans="1:19" x14ac:dyDescent="0.3">
      <c r="A569">
        <v>568</v>
      </c>
      <c r="B569" s="1">
        <v>44139</v>
      </c>
      <c r="C569">
        <v>87</v>
      </c>
      <c r="D569" t="s">
        <v>33</v>
      </c>
      <c r="E569" t="s">
        <v>102</v>
      </c>
      <c r="F569">
        <v>19</v>
      </c>
      <c r="G569" s="2">
        <v>103</v>
      </c>
      <c r="H569" s="2">
        <v>1957</v>
      </c>
      <c r="I569" s="1">
        <v>0.08</v>
      </c>
      <c r="J569" s="2">
        <v>1800.44</v>
      </c>
      <c r="K569" s="1">
        <v>44140</v>
      </c>
      <c r="L569" s="1">
        <v>44140</v>
      </c>
      <c r="M569">
        <v>568</v>
      </c>
      <c r="N569">
        <v>5</v>
      </c>
      <c r="O569" t="s">
        <v>35</v>
      </c>
      <c r="P569" s="3">
        <v>0.09</v>
      </c>
      <c r="Q569" s="2">
        <v>162.03960000000001</v>
      </c>
      <c r="R569">
        <v>1</v>
      </c>
      <c r="S569" t="str">
        <f t="shared" si="8"/>
        <v>Novembro</v>
      </c>
    </row>
    <row r="570" spans="1:19" hidden="1" x14ac:dyDescent="0.3">
      <c r="A570">
        <v>569</v>
      </c>
      <c r="B570" s="1">
        <v>44139</v>
      </c>
      <c r="C570">
        <v>68</v>
      </c>
      <c r="D570" t="s">
        <v>40</v>
      </c>
      <c r="E570" t="s">
        <v>99</v>
      </c>
      <c r="F570">
        <v>46</v>
      </c>
      <c r="G570" s="2">
        <v>102</v>
      </c>
      <c r="H570" s="2">
        <v>4692</v>
      </c>
      <c r="I570" s="1">
        <v>0.09</v>
      </c>
      <c r="J570" s="2">
        <v>4269.72</v>
      </c>
      <c r="K570" s="1">
        <v>44158</v>
      </c>
      <c r="L570" s="1">
        <v>44158</v>
      </c>
      <c r="M570">
        <v>569</v>
      </c>
      <c r="N570">
        <v>5</v>
      </c>
      <c r="O570" t="s">
        <v>38</v>
      </c>
      <c r="P570" s="3">
        <v>0.06</v>
      </c>
      <c r="Q570" s="2">
        <v>256.1832</v>
      </c>
      <c r="R570">
        <v>2</v>
      </c>
      <c r="S570" t="str">
        <f t="shared" si="8"/>
        <v>Novembro</v>
      </c>
    </row>
    <row r="571" spans="1:19" hidden="1" x14ac:dyDescent="0.3">
      <c r="A571">
        <v>570</v>
      </c>
      <c r="B571" s="1">
        <v>44140</v>
      </c>
      <c r="C571">
        <v>59</v>
      </c>
      <c r="D571" t="s">
        <v>84</v>
      </c>
      <c r="E571" t="s">
        <v>100</v>
      </c>
      <c r="F571">
        <v>45</v>
      </c>
      <c r="G571" s="2">
        <v>98</v>
      </c>
      <c r="H571" s="2">
        <v>4410</v>
      </c>
      <c r="I571" s="1">
        <v>0.08</v>
      </c>
      <c r="J571" s="2">
        <v>4057.2</v>
      </c>
      <c r="K571" s="1">
        <v>44167</v>
      </c>
      <c r="L571" s="1">
        <v>44167</v>
      </c>
      <c r="M571">
        <v>570</v>
      </c>
      <c r="N571">
        <v>4</v>
      </c>
      <c r="O571" t="s">
        <v>20</v>
      </c>
      <c r="P571" s="3">
        <v>7.0000000000000007E-2</v>
      </c>
      <c r="Q571" s="2">
        <v>284.00400000000002</v>
      </c>
      <c r="R571">
        <v>3</v>
      </c>
      <c r="S571" t="str">
        <f t="shared" si="8"/>
        <v>Novembro</v>
      </c>
    </row>
    <row r="572" spans="1:19" hidden="1" x14ac:dyDescent="0.3">
      <c r="A572">
        <v>571</v>
      </c>
      <c r="B572" s="1">
        <v>44141</v>
      </c>
      <c r="C572">
        <v>38</v>
      </c>
      <c r="D572" t="s">
        <v>60</v>
      </c>
      <c r="E572" t="s">
        <v>103</v>
      </c>
      <c r="F572">
        <v>40</v>
      </c>
      <c r="G572" s="2">
        <v>112</v>
      </c>
      <c r="H572" s="2">
        <v>4480</v>
      </c>
      <c r="I572" s="1">
        <v>0.01</v>
      </c>
      <c r="J572" s="2">
        <v>4435.2</v>
      </c>
      <c r="K572" s="1">
        <v>44161</v>
      </c>
      <c r="L572" s="1">
        <v>44161</v>
      </c>
      <c r="M572">
        <v>571</v>
      </c>
      <c r="N572">
        <v>7</v>
      </c>
      <c r="O572" t="s">
        <v>18</v>
      </c>
      <c r="P572" s="3">
        <v>0.05</v>
      </c>
      <c r="Q572" s="2">
        <v>221.76</v>
      </c>
      <c r="R572">
        <v>4</v>
      </c>
      <c r="S572" t="str">
        <f t="shared" si="8"/>
        <v>Novembro</v>
      </c>
    </row>
    <row r="573" spans="1:19" hidden="1" x14ac:dyDescent="0.3">
      <c r="A573">
        <v>572</v>
      </c>
      <c r="B573" s="1">
        <v>44142</v>
      </c>
      <c r="C573">
        <v>94</v>
      </c>
      <c r="D573" t="s">
        <v>40</v>
      </c>
      <c r="E573" t="s">
        <v>99</v>
      </c>
      <c r="F573">
        <v>38</v>
      </c>
      <c r="G573" s="2">
        <v>99</v>
      </c>
      <c r="H573" s="2">
        <v>3762</v>
      </c>
      <c r="I573" s="1">
        <v>0</v>
      </c>
      <c r="J573" s="2">
        <v>3762</v>
      </c>
      <c r="K573" s="1">
        <v>44162</v>
      </c>
      <c r="L573" s="1">
        <v>44162</v>
      </c>
      <c r="M573">
        <v>572</v>
      </c>
      <c r="N573">
        <v>6</v>
      </c>
      <c r="O573" t="s">
        <v>30</v>
      </c>
      <c r="P573" s="3">
        <v>0.09</v>
      </c>
      <c r="Q573" s="2">
        <v>338.58</v>
      </c>
      <c r="R573">
        <v>5</v>
      </c>
      <c r="S573" t="str">
        <f t="shared" si="8"/>
        <v>Novembro</v>
      </c>
    </row>
    <row r="574" spans="1:19" hidden="1" x14ac:dyDescent="0.3">
      <c r="A574">
        <v>573</v>
      </c>
      <c r="B574" s="1">
        <v>44143</v>
      </c>
      <c r="C574">
        <v>17</v>
      </c>
      <c r="D574" t="s">
        <v>54</v>
      </c>
      <c r="E574" t="s">
        <v>95</v>
      </c>
      <c r="F574">
        <v>32</v>
      </c>
      <c r="G574" s="2">
        <v>99</v>
      </c>
      <c r="H574" s="2">
        <v>3168</v>
      </c>
      <c r="I574" s="1">
        <v>0.02</v>
      </c>
      <c r="J574" s="2">
        <v>3104.64</v>
      </c>
      <c r="K574" s="1">
        <v>44162</v>
      </c>
      <c r="L574" s="1">
        <v>44162</v>
      </c>
      <c r="M574">
        <v>573</v>
      </c>
      <c r="N574">
        <v>6</v>
      </c>
      <c r="O574" t="s">
        <v>27</v>
      </c>
      <c r="P574" s="3">
        <v>0.09</v>
      </c>
      <c r="Q574" s="2">
        <v>279.41759999999999</v>
      </c>
      <c r="R574">
        <v>6</v>
      </c>
      <c r="S574" t="str">
        <f t="shared" si="8"/>
        <v>Novembro</v>
      </c>
    </row>
    <row r="575" spans="1:19" hidden="1" x14ac:dyDescent="0.3">
      <c r="A575">
        <v>574</v>
      </c>
      <c r="B575" s="1">
        <v>44143</v>
      </c>
      <c r="C575">
        <v>85</v>
      </c>
      <c r="D575" t="s">
        <v>45</v>
      </c>
      <c r="E575" t="s">
        <v>100</v>
      </c>
      <c r="F575">
        <v>31</v>
      </c>
      <c r="G575" s="2">
        <v>96</v>
      </c>
      <c r="H575" s="2">
        <v>2976</v>
      </c>
      <c r="I575" s="1">
        <v>0.1</v>
      </c>
      <c r="J575" s="2">
        <v>2678.4</v>
      </c>
      <c r="K575" s="1">
        <v>44146</v>
      </c>
      <c r="L575" s="1">
        <v>44146</v>
      </c>
      <c r="M575">
        <v>574</v>
      </c>
      <c r="N575">
        <v>5</v>
      </c>
      <c r="O575" t="s">
        <v>38</v>
      </c>
      <c r="P575" s="3">
        <v>0.05</v>
      </c>
      <c r="Q575" s="2">
        <v>133.92000000000002</v>
      </c>
      <c r="R575">
        <v>7</v>
      </c>
      <c r="S575" t="str">
        <f t="shared" si="8"/>
        <v>Novembro</v>
      </c>
    </row>
    <row r="576" spans="1:19" hidden="1" x14ac:dyDescent="0.3">
      <c r="A576">
        <v>575</v>
      </c>
      <c r="B576" s="1">
        <v>44143</v>
      </c>
      <c r="C576">
        <v>68</v>
      </c>
      <c r="D576" t="s">
        <v>40</v>
      </c>
      <c r="E576" t="s">
        <v>99</v>
      </c>
      <c r="F576">
        <v>47</v>
      </c>
      <c r="G576" s="2">
        <v>103</v>
      </c>
      <c r="H576" s="2">
        <v>4841</v>
      </c>
      <c r="I576" s="1">
        <v>0.11</v>
      </c>
      <c r="J576" s="2">
        <v>4308.49</v>
      </c>
      <c r="K576" s="1">
        <v>44173</v>
      </c>
      <c r="L576" s="1">
        <v>44173</v>
      </c>
      <c r="M576">
        <v>575</v>
      </c>
      <c r="N576">
        <v>6</v>
      </c>
      <c r="O576" t="s">
        <v>56</v>
      </c>
      <c r="P576" s="3">
        <v>0.06</v>
      </c>
      <c r="Q576" s="2">
        <v>258.50939999999997</v>
      </c>
      <c r="R576">
        <v>1</v>
      </c>
      <c r="S576" t="str">
        <f t="shared" si="8"/>
        <v>Novembro</v>
      </c>
    </row>
    <row r="577" spans="1:19" hidden="1" x14ac:dyDescent="0.3">
      <c r="A577">
        <v>576</v>
      </c>
      <c r="B577" s="1">
        <v>44144</v>
      </c>
      <c r="C577">
        <v>31</v>
      </c>
      <c r="D577" t="s">
        <v>72</v>
      </c>
      <c r="E577" t="s">
        <v>97</v>
      </c>
      <c r="F577">
        <v>45</v>
      </c>
      <c r="G577" s="2">
        <v>90</v>
      </c>
      <c r="H577" s="2">
        <v>4050</v>
      </c>
      <c r="I577" s="1">
        <v>0.05</v>
      </c>
      <c r="J577" s="2">
        <v>3847.5</v>
      </c>
      <c r="K577" s="1">
        <v>44158</v>
      </c>
      <c r="L577" s="1">
        <v>44158</v>
      </c>
      <c r="M577">
        <v>576</v>
      </c>
      <c r="N577">
        <v>1</v>
      </c>
      <c r="O577" t="s">
        <v>30</v>
      </c>
      <c r="P577" s="3">
        <v>0.05</v>
      </c>
      <c r="Q577" s="2">
        <v>192.375</v>
      </c>
      <c r="R577">
        <v>2</v>
      </c>
      <c r="S577" t="str">
        <f t="shared" si="8"/>
        <v>Novembro</v>
      </c>
    </row>
    <row r="578" spans="1:19" hidden="1" x14ac:dyDescent="0.3">
      <c r="A578">
        <v>577</v>
      </c>
      <c r="B578" s="1">
        <v>44145</v>
      </c>
      <c r="C578">
        <v>4</v>
      </c>
      <c r="D578" t="s">
        <v>73</v>
      </c>
      <c r="E578" t="s">
        <v>96</v>
      </c>
      <c r="F578">
        <v>14</v>
      </c>
      <c r="G578" s="2">
        <v>101</v>
      </c>
      <c r="H578" s="2">
        <v>1414</v>
      </c>
      <c r="I578" s="1">
        <v>0.05</v>
      </c>
      <c r="J578" s="2">
        <v>1343.3</v>
      </c>
      <c r="K578" s="1">
        <v>44154</v>
      </c>
      <c r="L578" s="1">
        <v>44154</v>
      </c>
      <c r="M578">
        <v>577</v>
      </c>
      <c r="N578">
        <v>5</v>
      </c>
      <c r="O578" t="s">
        <v>25</v>
      </c>
      <c r="P578" s="3">
        <v>7.0000000000000007E-2</v>
      </c>
      <c r="Q578" s="2">
        <v>94.031000000000006</v>
      </c>
      <c r="R578">
        <v>3</v>
      </c>
      <c r="S578" t="str">
        <f t="shared" si="8"/>
        <v>Novembro</v>
      </c>
    </row>
    <row r="579" spans="1:19" hidden="1" x14ac:dyDescent="0.3">
      <c r="A579">
        <v>578</v>
      </c>
      <c r="B579" s="1">
        <v>44145</v>
      </c>
      <c r="C579">
        <v>82</v>
      </c>
      <c r="D579" t="s">
        <v>54</v>
      </c>
      <c r="E579" t="s">
        <v>104</v>
      </c>
      <c r="F579">
        <v>25</v>
      </c>
      <c r="G579" s="2">
        <v>106</v>
      </c>
      <c r="H579" s="2">
        <v>2650</v>
      </c>
      <c r="I579" s="1">
        <v>0.14000000000000001</v>
      </c>
      <c r="J579" s="2">
        <v>2279</v>
      </c>
      <c r="K579" s="1">
        <v>44169</v>
      </c>
      <c r="L579" s="1">
        <v>44169</v>
      </c>
      <c r="M579">
        <v>578</v>
      </c>
      <c r="N579">
        <v>6</v>
      </c>
      <c r="O579" t="s">
        <v>56</v>
      </c>
      <c r="P579" s="3">
        <v>0.06</v>
      </c>
      <c r="Q579" s="2">
        <v>136.74</v>
      </c>
      <c r="R579">
        <v>4</v>
      </c>
      <c r="S579" t="str">
        <f t="shared" ref="S579:S642" si="9">PROPER(TEXT(B579,"mmmm"))</f>
        <v>Novembro</v>
      </c>
    </row>
    <row r="580" spans="1:19" hidden="1" x14ac:dyDescent="0.3">
      <c r="A580">
        <v>579</v>
      </c>
      <c r="B580" s="1">
        <v>44145</v>
      </c>
      <c r="C580">
        <v>83</v>
      </c>
      <c r="D580" t="s">
        <v>87</v>
      </c>
      <c r="E580" t="s">
        <v>97</v>
      </c>
      <c r="F580">
        <v>46</v>
      </c>
      <c r="G580" s="2">
        <v>105</v>
      </c>
      <c r="H580" s="2">
        <v>4830</v>
      </c>
      <c r="I580" s="1">
        <v>0</v>
      </c>
      <c r="J580" s="2">
        <v>4830</v>
      </c>
      <c r="K580" s="1">
        <v>44165</v>
      </c>
      <c r="L580" s="1">
        <v>44165</v>
      </c>
      <c r="M580">
        <v>579</v>
      </c>
      <c r="N580">
        <v>6</v>
      </c>
      <c r="O580" t="s">
        <v>27</v>
      </c>
      <c r="P580" s="3">
        <v>0.1</v>
      </c>
      <c r="Q580" s="2">
        <v>483</v>
      </c>
      <c r="R580">
        <v>5</v>
      </c>
      <c r="S580" t="str">
        <f t="shared" si="9"/>
        <v>Novembro</v>
      </c>
    </row>
    <row r="581" spans="1:19" hidden="1" x14ac:dyDescent="0.3">
      <c r="A581">
        <v>580</v>
      </c>
      <c r="B581" s="1">
        <v>44145</v>
      </c>
      <c r="C581">
        <v>83</v>
      </c>
      <c r="D581" t="s">
        <v>87</v>
      </c>
      <c r="E581" t="s">
        <v>98</v>
      </c>
      <c r="F581">
        <v>14</v>
      </c>
      <c r="G581" s="2">
        <v>117</v>
      </c>
      <c r="H581" s="2">
        <v>1638</v>
      </c>
      <c r="I581" s="1">
        <v>0.12</v>
      </c>
      <c r="J581" s="2">
        <v>1441.44</v>
      </c>
      <c r="K581" s="1">
        <v>44171</v>
      </c>
      <c r="L581" s="1">
        <v>44171</v>
      </c>
      <c r="M581">
        <v>580</v>
      </c>
      <c r="N581">
        <v>4</v>
      </c>
      <c r="O581" t="s">
        <v>23</v>
      </c>
      <c r="P581" s="3">
        <v>0.09</v>
      </c>
      <c r="Q581" s="2">
        <v>129.7296</v>
      </c>
      <c r="R581">
        <v>6</v>
      </c>
      <c r="S581" t="str">
        <f t="shared" si="9"/>
        <v>Novembro</v>
      </c>
    </row>
    <row r="582" spans="1:19" hidden="1" x14ac:dyDescent="0.3">
      <c r="A582">
        <v>581</v>
      </c>
      <c r="B582" s="1">
        <v>44146</v>
      </c>
      <c r="C582">
        <v>64</v>
      </c>
      <c r="D582" t="s">
        <v>65</v>
      </c>
      <c r="E582" t="s">
        <v>100</v>
      </c>
      <c r="F582">
        <v>23</v>
      </c>
      <c r="G582" s="2">
        <v>90</v>
      </c>
      <c r="H582" s="2">
        <v>2070</v>
      </c>
      <c r="I582" s="1">
        <v>0</v>
      </c>
      <c r="J582" s="2">
        <v>2070</v>
      </c>
      <c r="K582" s="1">
        <v>44148</v>
      </c>
      <c r="L582" s="1">
        <v>44148</v>
      </c>
      <c r="M582">
        <v>581</v>
      </c>
      <c r="N582">
        <v>2</v>
      </c>
      <c r="O582" t="s">
        <v>27</v>
      </c>
      <c r="P582" s="3">
        <v>0.09</v>
      </c>
      <c r="Q582" s="2">
        <v>186.29999999999998</v>
      </c>
      <c r="R582">
        <v>7</v>
      </c>
      <c r="S582" t="str">
        <f t="shared" si="9"/>
        <v>Novembro</v>
      </c>
    </row>
    <row r="583" spans="1:19" x14ac:dyDescent="0.3">
      <c r="A583">
        <v>582</v>
      </c>
      <c r="B583" s="1">
        <v>44146</v>
      </c>
      <c r="C583">
        <v>76</v>
      </c>
      <c r="D583" t="s">
        <v>91</v>
      </c>
      <c r="E583" t="s">
        <v>98</v>
      </c>
      <c r="F583">
        <v>24</v>
      </c>
      <c r="G583" s="2">
        <v>94</v>
      </c>
      <c r="H583" s="2">
        <v>2256</v>
      </c>
      <c r="I583" s="1">
        <v>0.14000000000000001</v>
      </c>
      <c r="J583" s="2">
        <v>1940.1599999999999</v>
      </c>
      <c r="K583" s="1">
        <v>44165</v>
      </c>
      <c r="L583" s="1">
        <v>44165</v>
      </c>
      <c r="M583">
        <v>582</v>
      </c>
      <c r="N583">
        <v>4</v>
      </c>
      <c r="O583" t="s">
        <v>35</v>
      </c>
      <c r="P583" s="3">
        <v>0.06</v>
      </c>
      <c r="Q583" s="2">
        <v>116.40959999999998</v>
      </c>
      <c r="R583">
        <v>1</v>
      </c>
      <c r="S583" t="str">
        <f t="shared" si="9"/>
        <v>Novembro</v>
      </c>
    </row>
    <row r="584" spans="1:19" hidden="1" x14ac:dyDescent="0.3">
      <c r="A584">
        <v>583</v>
      </c>
      <c r="B584" s="1">
        <v>44146</v>
      </c>
      <c r="C584">
        <v>57</v>
      </c>
      <c r="D584" t="s">
        <v>76</v>
      </c>
      <c r="E584" t="s">
        <v>104</v>
      </c>
      <c r="F584">
        <v>45</v>
      </c>
      <c r="G584" s="2">
        <v>92</v>
      </c>
      <c r="H584" s="2">
        <v>4140</v>
      </c>
      <c r="I584" s="1">
        <v>0.02</v>
      </c>
      <c r="J584" s="2">
        <v>4057.2</v>
      </c>
      <c r="K584" s="1">
        <v>44151</v>
      </c>
      <c r="L584" s="1">
        <v>44151</v>
      </c>
      <c r="M584">
        <v>583</v>
      </c>
      <c r="N584">
        <v>2</v>
      </c>
      <c r="O584" t="s">
        <v>27</v>
      </c>
      <c r="P584" s="3">
        <v>7.0000000000000007E-2</v>
      </c>
      <c r="Q584" s="2">
        <v>284.00400000000002</v>
      </c>
      <c r="R584">
        <v>2</v>
      </c>
      <c r="S584" t="str">
        <f t="shared" si="9"/>
        <v>Novembro</v>
      </c>
    </row>
    <row r="585" spans="1:19" hidden="1" x14ac:dyDescent="0.3">
      <c r="A585">
        <v>584</v>
      </c>
      <c r="B585" s="1">
        <v>44146</v>
      </c>
      <c r="C585">
        <v>62</v>
      </c>
      <c r="D585" t="s">
        <v>31</v>
      </c>
      <c r="E585" t="s">
        <v>98</v>
      </c>
      <c r="F585">
        <v>31</v>
      </c>
      <c r="G585" s="2">
        <v>100</v>
      </c>
      <c r="H585" s="2">
        <v>3100</v>
      </c>
      <c r="I585" s="1">
        <v>0.08</v>
      </c>
      <c r="J585" s="2">
        <v>2852</v>
      </c>
      <c r="K585" s="1">
        <v>44150</v>
      </c>
      <c r="L585" s="1">
        <v>44150</v>
      </c>
      <c r="M585">
        <v>584</v>
      </c>
      <c r="N585">
        <v>6</v>
      </c>
      <c r="O585" t="s">
        <v>38</v>
      </c>
      <c r="P585" s="3">
        <v>0.06</v>
      </c>
      <c r="Q585" s="2">
        <v>171.12</v>
      </c>
      <c r="R585">
        <v>3</v>
      </c>
      <c r="S585" t="str">
        <f t="shared" si="9"/>
        <v>Novembro</v>
      </c>
    </row>
    <row r="586" spans="1:19" hidden="1" x14ac:dyDescent="0.3">
      <c r="A586">
        <v>585</v>
      </c>
      <c r="B586" s="1">
        <v>44147</v>
      </c>
      <c r="C586">
        <v>73</v>
      </c>
      <c r="D586" t="s">
        <v>31</v>
      </c>
      <c r="E586" t="s">
        <v>99</v>
      </c>
      <c r="F586">
        <v>40</v>
      </c>
      <c r="G586" s="2">
        <v>116</v>
      </c>
      <c r="H586" s="2">
        <v>4640</v>
      </c>
      <c r="I586" s="1">
        <v>0.08</v>
      </c>
      <c r="J586" s="2">
        <v>4268.8</v>
      </c>
      <c r="K586" s="1">
        <v>44168</v>
      </c>
      <c r="L586" s="1">
        <v>44168</v>
      </c>
      <c r="M586">
        <v>585</v>
      </c>
      <c r="N586">
        <v>3</v>
      </c>
      <c r="O586" t="s">
        <v>38</v>
      </c>
      <c r="P586" s="3">
        <v>7.0000000000000007E-2</v>
      </c>
      <c r="Q586" s="2">
        <v>298.81600000000003</v>
      </c>
      <c r="R586">
        <v>4</v>
      </c>
      <c r="S586" t="str">
        <f t="shared" si="9"/>
        <v>Novembro</v>
      </c>
    </row>
    <row r="587" spans="1:19" hidden="1" x14ac:dyDescent="0.3">
      <c r="A587">
        <v>586</v>
      </c>
      <c r="B587" s="1">
        <v>44147</v>
      </c>
      <c r="C587">
        <v>27</v>
      </c>
      <c r="D587" t="s">
        <v>88</v>
      </c>
      <c r="E587" t="s">
        <v>95</v>
      </c>
      <c r="F587">
        <v>10</v>
      </c>
      <c r="G587" s="2">
        <v>114</v>
      </c>
      <c r="H587" s="2">
        <v>1140</v>
      </c>
      <c r="I587" s="1">
        <v>0.11</v>
      </c>
      <c r="J587" s="2">
        <v>1014.6</v>
      </c>
      <c r="K587" s="1">
        <v>44153</v>
      </c>
      <c r="L587" s="1">
        <v>44153</v>
      </c>
      <c r="M587">
        <v>586</v>
      </c>
      <c r="N587">
        <v>4</v>
      </c>
      <c r="O587" t="s">
        <v>27</v>
      </c>
      <c r="P587" s="3">
        <v>7.0000000000000007E-2</v>
      </c>
      <c r="Q587" s="2">
        <v>71.022000000000006</v>
      </c>
      <c r="R587">
        <v>5</v>
      </c>
      <c r="S587" t="str">
        <f t="shared" si="9"/>
        <v>Novembro</v>
      </c>
    </row>
    <row r="588" spans="1:19" hidden="1" x14ac:dyDescent="0.3">
      <c r="A588">
        <v>587</v>
      </c>
      <c r="B588" s="1">
        <v>44147</v>
      </c>
      <c r="C588">
        <v>70</v>
      </c>
      <c r="D588" t="s">
        <v>54</v>
      </c>
      <c r="E588" t="s">
        <v>95</v>
      </c>
      <c r="F588">
        <v>22</v>
      </c>
      <c r="G588" s="2">
        <v>112</v>
      </c>
      <c r="H588" s="2">
        <v>2464</v>
      </c>
      <c r="I588" s="1">
        <v>0.02</v>
      </c>
      <c r="J588" s="2">
        <v>2414.7199999999998</v>
      </c>
      <c r="K588" s="1">
        <v>44150</v>
      </c>
      <c r="L588" s="1">
        <v>44150</v>
      </c>
      <c r="M588">
        <v>587</v>
      </c>
      <c r="N588">
        <v>6</v>
      </c>
      <c r="O588" t="s">
        <v>27</v>
      </c>
      <c r="P588" s="3">
        <v>0.1</v>
      </c>
      <c r="Q588" s="2">
        <v>241.47199999999998</v>
      </c>
      <c r="R588">
        <v>6</v>
      </c>
      <c r="S588" t="str">
        <f t="shared" si="9"/>
        <v>Novembro</v>
      </c>
    </row>
    <row r="589" spans="1:19" x14ac:dyDescent="0.3">
      <c r="A589">
        <v>588</v>
      </c>
      <c r="B589" s="1">
        <v>44147</v>
      </c>
      <c r="C589">
        <v>39</v>
      </c>
      <c r="D589" t="s">
        <v>31</v>
      </c>
      <c r="E589" t="s">
        <v>103</v>
      </c>
      <c r="F589">
        <v>37</v>
      </c>
      <c r="G589" s="2">
        <v>116</v>
      </c>
      <c r="H589" s="2">
        <v>4292</v>
      </c>
      <c r="I589" s="1">
        <v>0.15</v>
      </c>
      <c r="J589" s="2">
        <v>3648.2</v>
      </c>
      <c r="K589" s="1">
        <v>44147</v>
      </c>
      <c r="L589" s="1">
        <v>44147</v>
      </c>
      <c r="M589">
        <v>588</v>
      </c>
      <c r="N589">
        <v>2</v>
      </c>
      <c r="O589" t="s">
        <v>35</v>
      </c>
      <c r="P589" s="3">
        <v>0.08</v>
      </c>
      <c r="Q589" s="2">
        <v>291.85599999999999</v>
      </c>
      <c r="R589">
        <v>7</v>
      </c>
      <c r="S589" t="str">
        <f t="shared" si="9"/>
        <v>Novembro</v>
      </c>
    </row>
    <row r="590" spans="1:19" x14ac:dyDescent="0.3">
      <c r="A590">
        <v>589</v>
      </c>
      <c r="B590" s="1">
        <v>44148</v>
      </c>
      <c r="C590">
        <v>90</v>
      </c>
      <c r="D590" t="s">
        <v>47</v>
      </c>
      <c r="E590" t="s">
        <v>96</v>
      </c>
      <c r="F590">
        <v>34</v>
      </c>
      <c r="G590" s="2">
        <v>116</v>
      </c>
      <c r="H590" s="2">
        <v>3944</v>
      </c>
      <c r="I590" s="1">
        <v>0.13</v>
      </c>
      <c r="J590" s="2">
        <v>3431.2799999999997</v>
      </c>
      <c r="K590" s="1">
        <v>44156</v>
      </c>
      <c r="L590" s="1">
        <v>44156</v>
      </c>
      <c r="M590">
        <v>589</v>
      </c>
      <c r="N590">
        <v>6</v>
      </c>
      <c r="O590" t="s">
        <v>35</v>
      </c>
      <c r="P590" s="3">
        <v>0.1</v>
      </c>
      <c r="Q590" s="2">
        <v>343.12799999999999</v>
      </c>
      <c r="R590">
        <v>1</v>
      </c>
      <c r="S590" t="str">
        <f t="shared" si="9"/>
        <v>Novembro</v>
      </c>
    </row>
    <row r="591" spans="1:19" hidden="1" x14ac:dyDescent="0.3">
      <c r="A591">
        <v>590</v>
      </c>
      <c r="B591" s="1">
        <v>44150</v>
      </c>
      <c r="C591">
        <v>40</v>
      </c>
      <c r="D591" t="s">
        <v>40</v>
      </c>
      <c r="E591" t="s">
        <v>97</v>
      </c>
      <c r="F591">
        <v>40</v>
      </c>
      <c r="G591" s="2">
        <v>115</v>
      </c>
      <c r="H591" s="2">
        <v>4600</v>
      </c>
      <c r="I591" s="1">
        <v>7.0000000000000007E-2</v>
      </c>
      <c r="J591" s="2">
        <v>4278</v>
      </c>
      <c r="K591" s="1">
        <v>44159</v>
      </c>
      <c r="L591" s="1">
        <v>44159</v>
      </c>
      <c r="M591">
        <v>590</v>
      </c>
      <c r="N591">
        <v>2</v>
      </c>
      <c r="O591" t="s">
        <v>30</v>
      </c>
      <c r="P591" s="3">
        <v>0.1</v>
      </c>
      <c r="Q591" s="2">
        <v>427.8</v>
      </c>
      <c r="R591">
        <v>2</v>
      </c>
      <c r="S591" t="str">
        <f t="shared" si="9"/>
        <v>Novembro</v>
      </c>
    </row>
    <row r="592" spans="1:19" hidden="1" x14ac:dyDescent="0.3">
      <c r="A592">
        <v>591</v>
      </c>
      <c r="B592" s="1">
        <v>44150</v>
      </c>
      <c r="C592">
        <v>88</v>
      </c>
      <c r="D592" t="s">
        <v>31</v>
      </c>
      <c r="E592" t="s">
        <v>101</v>
      </c>
      <c r="F592">
        <v>42</v>
      </c>
      <c r="G592" s="2">
        <v>96</v>
      </c>
      <c r="H592" s="2">
        <v>4032</v>
      </c>
      <c r="I592" s="1">
        <v>0.08</v>
      </c>
      <c r="J592" s="2">
        <v>3709.44</v>
      </c>
      <c r="K592" s="1">
        <v>44165</v>
      </c>
      <c r="L592" s="1">
        <v>44165</v>
      </c>
      <c r="M592">
        <v>591</v>
      </c>
      <c r="N592">
        <v>3</v>
      </c>
      <c r="O592" t="s">
        <v>18</v>
      </c>
      <c r="P592" s="3">
        <v>0.08</v>
      </c>
      <c r="Q592" s="2">
        <v>296.7552</v>
      </c>
      <c r="R592">
        <v>3</v>
      </c>
      <c r="S592" t="str">
        <f t="shared" si="9"/>
        <v>Novembro</v>
      </c>
    </row>
    <row r="593" spans="1:19" hidden="1" x14ac:dyDescent="0.3">
      <c r="A593">
        <v>592</v>
      </c>
      <c r="B593" s="1">
        <v>44153</v>
      </c>
      <c r="C593">
        <v>41</v>
      </c>
      <c r="D593" t="s">
        <v>55</v>
      </c>
      <c r="E593" t="s">
        <v>97</v>
      </c>
      <c r="F593">
        <v>47</v>
      </c>
      <c r="G593" s="2">
        <v>92</v>
      </c>
      <c r="H593" s="2">
        <v>4324</v>
      </c>
      <c r="I593" s="1">
        <v>0.15</v>
      </c>
      <c r="J593" s="2">
        <v>3675.4</v>
      </c>
      <c r="K593" s="1">
        <v>44165</v>
      </c>
      <c r="L593" s="1">
        <v>44165</v>
      </c>
      <c r="M593">
        <v>592</v>
      </c>
      <c r="N593">
        <v>5</v>
      </c>
      <c r="O593" t="s">
        <v>30</v>
      </c>
      <c r="P593" s="3">
        <v>0.1</v>
      </c>
      <c r="Q593" s="2">
        <v>367.54</v>
      </c>
      <c r="R593">
        <v>4</v>
      </c>
      <c r="S593" t="str">
        <f t="shared" si="9"/>
        <v>Novembro</v>
      </c>
    </row>
    <row r="594" spans="1:19" hidden="1" x14ac:dyDescent="0.3">
      <c r="A594">
        <v>593</v>
      </c>
      <c r="B594" s="1">
        <v>44153</v>
      </c>
      <c r="C594">
        <v>92</v>
      </c>
      <c r="D594" t="s">
        <v>21</v>
      </c>
      <c r="E594" t="s">
        <v>97</v>
      </c>
      <c r="F594">
        <v>30</v>
      </c>
      <c r="G594" s="2">
        <v>116</v>
      </c>
      <c r="H594" s="2">
        <v>3480</v>
      </c>
      <c r="I594" s="1">
        <v>0.01</v>
      </c>
      <c r="J594" s="2">
        <v>3445.2</v>
      </c>
      <c r="K594" s="1">
        <v>44162</v>
      </c>
      <c r="L594" s="1">
        <v>44162</v>
      </c>
      <c r="M594">
        <v>593</v>
      </c>
      <c r="N594">
        <v>4</v>
      </c>
      <c r="O594" t="s">
        <v>20</v>
      </c>
      <c r="P594" s="3">
        <v>0.06</v>
      </c>
      <c r="Q594" s="2">
        <v>206.71199999999999</v>
      </c>
      <c r="R594">
        <v>5</v>
      </c>
      <c r="S594" t="str">
        <f t="shared" si="9"/>
        <v>Novembro</v>
      </c>
    </row>
    <row r="595" spans="1:19" hidden="1" x14ac:dyDescent="0.3">
      <c r="A595">
        <v>594</v>
      </c>
      <c r="B595" s="1">
        <v>44154</v>
      </c>
      <c r="C595">
        <v>84</v>
      </c>
      <c r="D595" t="s">
        <v>36</v>
      </c>
      <c r="E595" t="s">
        <v>96</v>
      </c>
      <c r="F595">
        <v>42</v>
      </c>
      <c r="G595" s="2">
        <v>100</v>
      </c>
      <c r="H595" s="2">
        <v>4200</v>
      </c>
      <c r="I595" s="1">
        <v>0.05</v>
      </c>
      <c r="J595" s="2">
        <v>3990</v>
      </c>
      <c r="K595" s="1">
        <v>44170</v>
      </c>
      <c r="L595" s="1">
        <v>44170</v>
      </c>
      <c r="M595">
        <v>594</v>
      </c>
      <c r="N595">
        <v>7</v>
      </c>
      <c r="O595" t="s">
        <v>56</v>
      </c>
      <c r="P595" s="3">
        <v>7.0000000000000007E-2</v>
      </c>
      <c r="Q595" s="2">
        <v>279.3</v>
      </c>
      <c r="R595">
        <v>6</v>
      </c>
      <c r="S595" t="str">
        <f t="shared" si="9"/>
        <v>Novembro</v>
      </c>
    </row>
    <row r="596" spans="1:19" hidden="1" x14ac:dyDescent="0.3">
      <c r="A596">
        <v>595</v>
      </c>
      <c r="B596" s="1">
        <v>44155</v>
      </c>
      <c r="C596">
        <v>8</v>
      </c>
      <c r="D596" t="s">
        <v>31</v>
      </c>
      <c r="E596" t="s">
        <v>103</v>
      </c>
      <c r="F596">
        <v>11</v>
      </c>
      <c r="G596" s="2">
        <v>118</v>
      </c>
      <c r="H596" s="2">
        <v>1298</v>
      </c>
      <c r="I596" s="1">
        <v>0.11</v>
      </c>
      <c r="J596" s="2">
        <v>1155.22</v>
      </c>
      <c r="K596" s="1">
        <v>44155</v>
      </c>
      <c r="L596" s="1">
        <v>44155</v>
      </c>
      <c r="M596">
        <v>595</v>
      </c>
      <c r="N596">
        <v>5</v>
      </c>
      <c r="O596" t="s">
        <v>27</v>
      </c>
      <c r="P596" s="3">
        <v>0.05</v>
      </c>
      <c r="Q596" s="2">
        <v>57.761000000000003</v>
      </c>
      <c r="R596">
        <v>7</v>
      </c>
      <c r="S596" t="str">
        <f t="shared" si="9"/>
        <v>Novembro</v>
      </c>
    </row>
    <row r="597" spans="1:19" hidden="1" x14ac:dyDescent="0.3">
      <c r="A597">
        <v>596</v>
      </c>
      <c r="B597" s="1">
        <v>44155</v>
      </c>
      <c r="C597">
        <v>76</v>
      </c>
      <c r="D597" t="s">
        <v>91</v>
      </c>
      <c r="E597" t="s">
        <v>96</v>
      </c>
      <c r="F597">
        <v>35</v>
      </c>
      <c r="G597" s="2">
        <v>105</v>
      </c>
      <c r="H597" s="2">
        <v>3675</v>
      </c>
      <c r="I597" s="1">
        <v>0.04</v>
      </c>
      <c r="J597" s="2">
        <v>3528</v>
      </c>
      <c r="K597" s="1">
        <v>44183</v>
      </c>
      <c r="L597" s="1">
        <v>44183</v>
      </c>
      <c r="M597">
        <v>596</v>
      </c>
      <c r="N597">
        <v>4</v>
      </c>
      <c r="O597" t="s">
        <v>18</v>
      </c>
      <c r="P597" s="3">
        <v>0.05</v>
      </c>
      <c r="Q597" s="2">
        <v>176.4</v>
      </c>
      <c r="R597">
        <v>1</v>
      </c>
      <c r="S597" t="str">
        <f t="shared" si="9"/>
        <v>Novembro</v>
      </c>
    </row>
    <row r="598" spans="1:19" hidden="1" x14ac:dyDescent="0.3">
      <c r="A598">
        <v>597</v>
      </c>
      <c r="B598" s="1">
        <v>44156</v>
      </c>
      <c r="C598">
        <v>29</v>
      </c>
      <c r="D598" t="s">
        <v>85</v>
      </c>
      <c r="E598" t="s">
        <v>96</v>
      </c>
      <c r="F598">
        <v>14</v>
      </c>
      <c r="G598" s="2">
        <v>120</v>
      </c>
      <c r="H598" s="2">
        <v>1680</v>
      </c>
      <c r="I598" s="1">
        <v>0.08</v>
      </c>
      <c r="J598" s="2">
        <v>1545.6</v>
      </c>
      <c r="K598" s="1">
        <v>44181</v>
      </c>
      <c r="L598" s="1">
        <v>44181</v>
      </c>
      <c r="M598">
        <v>597</v>
      </c>
      <c r="N598">
        <v>7</v>
      </c>
      <c r="O598" t="s">
        <v>25</v>
      </c>
      <c r="P598" s="3">
        <v>0.08</v>
      </c>
      <c r="Q598" s="2">
        <v>123.648</v>
      </c>
      <c r="R598">
        <v>2</v>
      </c>
      <c r="S598" t="str">
        <f t="shared" si="9"/>
        <v>Novembro</v>
      </c>
    </row>
    <row r="599" spans="1:19" hidden="1" x14ac:dyDescent="0.3">
      <c r="A599">
        <v>598</v>
      </c>
      <c r="B599" s="1">
        <v>44157</v>
      </c>
      <c r="C599">
        <v>57</v>
      </c>
      <c r="D599" t="s">
        <v>76</v>
      </c>
      <c r="E599" t="s">
        <v>95</v>
      </c>
      <c r="F599">
        <v>33</v>
      </c>
      <c r="G599" s="2">
        <v>95</v>
      </c>
      <c r="H599" s="2">
        <v>3135</v>
      </c>
      <c r="I599" s="1">
        <v>0.1</v>
      </c>
      <c r="J599" s="2">
        <v>2821.5</v>
      </c>
      <c r="K599" s="1">
        <v>44173</v>
      </c>
      <c r="L599" s="1">
        <v>44173</v>
      </c>
      <c r="M599">
        <v>598</v>
      </c>
      <c r="N599">
        <v>3</v>
      </c>
      <c r="O599" t="s">
        <v>42</v>
      </c>
      <c r="P599" s="3">
        <v>0.09</v>
      </c>
      <c r="Q599" s="2">
        <v>253.935</v>
      </c>
      <c r="R599">
        <v>3</v>
      </c>
      <c r="S599" t="str">
        <f t="shared" si="9"/>
        <v>Novembro</v>
      </c>
    </row>
    <row r="600" spans="1:19" hidden="1" x14ac:dyDescent="0.3">
      <c r="A600">
        <v>599</v>
      </c>
      <c r="B600" s="1">
        <v>44158</v>
      </c>
      <c r="C600">
        <v>88</v>
      </c>
      <c r="D600" t="s">
        <v>31</v>
      </c>
      <c r="E600" t="s">
        <v>100</v>
      </c>
      <c r="F600">
        <v>10</v>
      </c>
      <c r="G600" s="2">
        <v>113</v>
      </c>
      <c r="H600" s="2">
        <v>1130</v>
      </c>
      <c r="I600" s="1">
        <v>0.1</v>
      </c>
      <c r="J600" s="2">
        <v>1017</v>
      </c>
      <c r="K600" s="1">
        <v>44183</v>
      </c>
      <c r="L600" s="1">
        <v>44183</v>
      </c>
      <c r="M600">
        <v>599</v>
      </c>
      <c r="N600">
        <v>7</v>
      </c>
      <c r="O600" t="s">
        <v>23</v>
      </c>
      <c r="P600" s="3">
        <v>0.06</v>
      </c>
      <c r="Q600" s="2">
        <v>61.019999999999996</v>
      </c>
      <c r="R600">
        <v>4</v>
      </c>
      <c r="S600" t="str">
        <f t="shared" si="9"/>
        <v>Novembro</v>
      </c>
    </row>
    <row r="601" spans="1:19" hidden="1" x14ac:dyDescent="0.3">
      <c r="A601">
        <v>600</v>
      </c>
      <c r="B601" s="1">
        <v>44158</v>
      </c>
      <c r="C601">
        <v>12</v>
      </c>
      <c r="D601" t="s">
        <v>37</v>
      </c>
      <c r="E601" t="s">
        <v>96</v>
      </c>
      <c r="F601">
        <v>46</v>
      </c>
      <c r="G601" s="2">
        <v>113</v>
      </c>
      <c r="H601" s="2">
        <v>5198</v>
      </c>
      <c r="I601" s="1">
        <v>0.14000000000000001</v>
      </c>
      <c r="J601" s="2">
        <v>4470.28</v>
      </c>
      <c r="K601" s="1">
        <v>44185</v>
      </c>
      <c r="L601" s="1">
        <v>44185</v>
      </c>
      <c r="M601">
        <v>600</v>
      </c>
      <c r="N601">
        <v>6</v>
      </c>
      <c r="O601" t="s">
        <v>25</v>
      </c>
      <c r="P601" s="3">
        <v>0.09</v>
      </c>
      <c r="Q601" s="2">
        <v>402.32519999999994</v>
      </c>
      <c r="R601">
        <v>5</v>
      </c>
      <c r="S601" t="str">
        <f t="shared" si="9"/>
        <v>Novembro</v>
      </c>
    </row>
    <row r="602" spans="1:19" hidden="1" x14ac:dyDescent="0.3">
      <c r="A602">
        <v>601</v>
      </c>
      <c r="B602" s="1">
        <v>44159</v>
      </c>
      <c r="C602">
        <v>30</v>
      </c>
      <c r="D602" t="s">
        <v>83</v>
      </c>
      <c r="E602" t="s">
        <v>95</v>
      </c>
      <c r="F602">
        <v>15</v>
      </c>
      <c r="G602" s="2">
        <v>104</v>
      </c>
      <c r="H602" s="2">
        <v>1560</v>
      </c>
      <c r="I602" s="1">
        <v>0.08</v>
      </c>
      <c r="J602" s="2">
        <v>1435.2</v>
      </c>
      <c r="K602" s="1">
        <v>44170</v>
      </c>
      <c r="L602" s="1">
        <v>44170</v>
      </c>
      <c r="M602">
        <v>601</v>
      </c>
      <c r="N602">
        <v>4</v>
      </c>
      <c r="O602" t="s">
        <v>56</v>
      </c>
      <c r="P602" s="3">
        <v>0.08</v>
      </c>
      <c r="Q602" s="2">
        <v>114.816</v>
      </c>
      <c r="R602">
        <v>6</v>
      </c>
      <c r="S602" t="str">
        <f t="shared" si="9"/>
        <v>Novembro</v>
      </c>
    </row>
    <row r="603" spans="1:19" hidden="1" x14ac:dyDescent="0.3">
      <c r="A603">
        <v>602</v>
      </c>
      <c r="B603" s="1">
        <v>44159</v>
      </c>
      <c r="C603">
        <v>92</v>
      </c>
      <c r="D603" t="s">
        <v>21</v>
      </c>
      <c r="E603" t="s">
        <v>96</v>
      </c>
      <c r="F603">
        <v>26</v>
      </c>
      <c r="G603" s="2">
        <v>120</v>
      </c>
      <c r="H603" s="2">
        <v>3120</v>
      </c>
      <c r="I603" s="1">
        <v>0</v>
      </c>
      <c r="J603" s="2">
        <v>3120</v>
      </c>
      <c r="K603" s="1">
        <v>44181</v>
      </c>
      <c r="L603" s="1">
        <v>44181</v>
      </c>
      <c r="M603">
        <v>602</v>
      </c>
      <c r="N603">
        <v>2</v>
      </c>
      <c r="O603" t="s">
        <v>27</v>
      </c>
      <c r="P603" s="3">
        <v>7.0000000000000007E-2</v>
      </c>
      <c r="Q603" s="2">
        <v>218.40000000000003</v>
      </c>
      <c r="R603">
        <v>7</v>
      </c>
      <c r="S603" t="str">
        <f t="shared" si="9"/>
        <v>Novembro</v>
      </c>
    </row>
    <row r="604" spans="1:19" hidden="1" x14ac:dyDescent="0.3">
      <c r="A604">
        <v>603</v>
      </c>
      <c r="B604" s="1">
        <v>44160</v>
      </c>
      <c r="C604">
        <v>100</v>
      </c>
      <c r="D604" t="s">
        <v>31</v>
      </c>
      <c r="E604" t="s">
        <v>96</v>
      </c>
      <c r="F604">
        <v>23</v>
      </c>
      <c r="G604" s="2">
        <v>101</v>
      </c>
      <c r="H604" s="2">
        <v>2323</v>
      </c>
      <c r="I604" s="1">
        <v>0</v>
      </c>
      <c r="J604" s="2">
        <v>2323</v>
      </c>
      <c r="K604" s="1">
        <v>44179</v>
      </c>
      <c r="L604" s="1">
        <v>44179</v>
      </c>
      <c r="M604">
        <v>603</v>
      </c>
      <c r="N604">
        <v>6</v>
      </c>
      <c r="O604" t="s">
        <v>18</v>
      </c>
      <c r="P604" s="3">
        <v>0.08</v>
      </c>
      <c r="Q604" s="2">
        <v>185.84</v>
      </c>
      <c r="R604">
        <v>1</v>
      </c>
      <c r="S604" t="str">
        <f t="shared" si="9"/>
        <v>Novembro</v>
      </c>
    </row>
    <row r="605" spans="1:19" hidden="1" x14ac:dyDescent="0.3">
      <c r="A605">
        <v>604</v>
      </c>
      <c r="B605" s="1">
        <v>44161</v>
      </c>
      <c r="C605">
        <v>1</v>
      </c>
      <c r="D605" t="s">
        <v>80</v>
      </c>
      <c r="E605" t="s">
        <v>100</v>
      </c>
      <c r="F605">
        <v>45</v>
      </c>
      <c r="G605" s="2">
        <v>104</v>
      </c>
      <c r="H605" s="2">
        <v>4680</v>
      </c>
      <c r="I605" s="1">
        <v>0.1</v>
      </c>
      <c r="J605" s="2">
        <v>4212</v>
      </c>
      <c r="K605" s="1">
        <v>44161</v>
      </c>
      <c r="L605" s="1">
        <v>44161</v>
      </c>
      <c r="M605">
        <v>604</v>
      </c>
      <c r="N605">
        <v>4</v>
      </c>
      <c r="O605" t="s">
        <v>25</v>
      </c>
      <c r="P605" s="3">
        <v>0.06</v>
      </c>
      <c r="Q605" s="2">
        <v>252.72</v>
      </c>
      <c r="R605">
        <v>2</v>
      </c>
      <c r="S605" t="str">
        <f t="shared" si="9"/>
        <v>Novembro</v>
      </c>
    </row>
    <row r="606" spans="1:19" hidden="1" x14ac:dyDescent="0.3">
      <c r="A606">
        <v>605</v>
      </c>
      <c r="B606" s="1">
        <v>44161</v>
      </c>
      <c r="C606">
        <v>82</v>
      </c>
      <c r="D606" t="s">
        <v>54</v>
      </c>
      <c r="E606" t="s">
        <v>104</v>
      </c>
      <c r="F606">
        <v>13</v>
      </c>
      <c r="G606" s="2">
        <v>90</v>
      </c>
      <c r="H606" s="2">
        <v>1170</v>
      </c>
      <c r="I606" s="1">
        <v>0.11</v>
      </c>
      <c r="J606" s="2">
        <v>1041.3</v>
      </c>
      <c r="K606" s="1">
        <v>44161</v>
      </c>
      <c r="L606" s="1">
        <v>44161</v>
      </c>
      <c r="M606">
        <v>605</v>
      </c>
      <c r="N606">
        <v>4</v>
      </c>
      <c r="O606" t="s">
        <v>42</v>
      </c>
      <c r="P606" s="3">
        <v>7.0000000000000007E-2</v>
      </c>
      <c r="Q606" s="2">
        <v>72.891000000000005</v>
      </c>
      <c r="R606">
        <v>3</v>
      </c>
      <c r="S606" t="str">
        <f t="shared" si="9"/>
        <v>Novembro</v>
      </c>
    </row>
    <row r="607" spans="1:19" x14ac:dyDescent="0.3">
      <c r="A607">
        <v>606</v>
      </c>
      <c r="B607" s="1">
        <v>44162</v>
      </c>
      <c r="C607">
        <v>80</v>
      </c>
      <c r="D607" t="s">
        <v>31</v>
      </c>
      <c r="E607" t="s">
        <v>104</v>
      </c>
      <c r="F607">
        <v>28</v>
      </c>
      <c r="G607" s="2">
        <v>117</v>
      </c>
      <c r="H607" s="2">
        <v>3276</v>
      </c>
      <c r="I607" s="1">
        <v>0.11</v>
      </c>
      <c r="J607" s="2">
        <v>2915.64</v>
      </c>
      <c r="K607" s="1">
        <v>44165</v>
      </c>
      <c r="L607" s="1">
        <v>44165</v>
      </c>
      <c r="M607">
        <v>606</v>
      </c>
      <c r="N607">
        <v>4</v>
      </c>
      <c r="O607" t="s">
        <v>35</v>
      </c>
      <c r="P607" s="3">
        <v>7.0000000000000007E-2</v>
      </c>
      <c r="Q607" s="2">
        <v>204.09480000000002</v>
      </c>
      <c r="R607">
        <v>4</v>
      </c>
      <c r="S607" t="str">
        <f t="shared" si="9"/>
        <v>Novembro</v>
      </c>
    </row>
    <row r="608" spans="1:19" hidden="1" x14ac:dyDescent="0.3">
      <c r="A608">
        <v>607</v>
      </c>
      <c r="B608" s="1">
        <v>44162</v>
      </c>
      <c r="C608">
        <v>39</v>
      </c>
      <c r="D608" t="s">
        <v>31</v>
      </c>
      <c r="E608" t="s">
        <v>99</v>
      </c>
      <c r="F608">
        <v>21</v>
      </c>
      <c r="G608" s="2">
        <v>104</v>
      </c>
      <c r="H608" s="2">
        <v>2184</v>
      </c>
      <c r="I608" s="1">
        <v>0.14000000000000001</v>
      </c>
      <c r="J608" s="2">
        <v>1878.24</v>
      </c>
      <c r="K608" s="1">
        <v>44168</v>
      </c>
      <c r="L608" s="1">
        <v>44168</v>
      </c>
      <c r="M608">
        <v>607</v>
      </c>
      <c r="N608">
        <v>2</v>
      </c>
      <c r="O608" t="s">
        <v>56</v>
      </c>
      <c r="P608" s="3">
        <v>0.1</v>
      </c>
      <c r="Q608" s="2">
        <v>187.82400000000001</v>
      </c>
      <c r="R608">
        <v>5</v>
      </c>
      <c r="S608" t="str">
        <f t="shared" si="9"/>
        <v>Novembro</v>
      </c>
    </row>
    <row r="609" spans="1:19" hidden="1" x14ac:dyDescent="0.3">
      <c r="A609">
        <v>608</v>
      </c>
      <c r="B609" s="1">
        <v>44162</v>
      </c>
      <c r="C609">
        <v>63</v>
      </c>
      <c r="D609" t="s">
        <v>67</v>
      </c>
      <c r="E609" t="s">
        <v>96</v>
      </c>
      <c r="F609">
        <v>18</v>
      </c>
      <c r="G609" s="2">
        <v>110</v>
      </c>
      <c r="H609" s="2">
        <v>1980</v>
      </c>
      <c r="I609" s="1">
        <v>0.1</v>
      </c>
      <c r="J609" s="2">
        <v>1782</v>
      </c>
      <c r="K609" s="1">
        <v>44173</v>
      </c>
      <c r="L609" s="1">
        <v>44173</v>
      </c>
      <c r="M609">
        <v>608</v>
      </c>
      <c r="N609">
        <v>5</v>
      </c>
      <c r="O609" t="s">
        <v>56</v>
      </c>
      <c r="P609" s="3">
        <v>0.1</v>
      </c>
      <c r="Q609" s="2">
        <v>178.20000000000002</v>
      </c>
      <c r="R609">
        <v>6</v>
      </c>
      <c r="S609" t="str">
        <f t="shared" si="9"/>
        <v>Novembro</v>
      </c>
    </row>
    <row r="610" spans="1:19" hidden="1" x14ac:dyDescent="0.3">
      <c r="A610">
        <v>609</v>
      </c>
      <c r="B610" s="1">
        <v>44163</v>
      </c>
      <c r="C610">
        <v>34</v>
      </c>
      <c r="D610" t="s">
        <v>46</v>
      </c>
      <c r="E610" t="s">
        <v>95</v>
      </c>
      <c r="F610">
        <v>29</v>
      </c>
      <c r="G610" s="2">
        <v>103</v>
      </c>
      <c r="H610" s="2">
        <v>2987</v>
      </c>
      <c r="I610" s="1">
        <v>0.09</v>
      </c>
      <c r="J610" s="2">
        <v>2718.17</v>
      </c>
      <c r="K610" s="1">
        <v>44179</v>
      </c>
      <c r="L610" s="1">
        <v>44179</v>
      </c>
      <c r="M610">
        <v>609</v>
      </c>
      <c r="N610">
        <v>1</v>
      </c>
      <c r="O610" t="s">
        <v>38</v>
      </c>
      <c r="P610" s="3">
        <v>0.08</v>
      </c>
      <c r="Q610" s="2">
        <v>217.45360000000002</v>
      </c>
      <c r="R610">
        <v>7</v>
      </c>
      <c r="S610" t="str">
        <f t="shared" si="9"/>
        <v>Novembro</v>
      </c>
    </row>
    <row r="611" spans="1:19" hidden="1" x14ac:dyDescent="0.3">
      <c r="A611">
        <v>610</v>
      </c>
      <c r="B611" s="1">
        <v>44163</v>
      </c>
      <c r="C611">
        <v>50</v>
      </c>
      <c r="D611" t="s">
        <v>68</v>
      </c>
      <c r="E611" t="s">
        <v>100</v>
      </c>
      <c r="F611">
        <v>41</v>
      </c>
      <c r="G611" s="2">
        <v>118</v>
      </c>
      <c r="H611" s="2">
        <v>4838</v>
      </c>
      <c r="I611" s="1">
        <v>0.13</v>
      </c>
      <c r="J611" s="2">
        <v>4209.0599999999995</v>
      </c>
      <c r="K611" s="1">
        <v>44183</v>
      </c>
      <c r="L611" s="1">
        <v>44183</v>
      </c>
      <c r="M611">
        <v>610</v>
      </c>
      <c r="N611">
        <v>4</v>
      </c>
      <c r="O611" t="s">
        <v>56</v>
      </c>
      <c r="P611" s="3">
        <v>0.05</v>
      </c>
      <c r="Q611" s="2">
        <v>210.45299999999997</v>
      </c>
      <c r="R611">
        <v>1</v>
      </c>
      <c r="S611" t="str">
        <f t="shared" si="9"/>
        <v>Novembro</v>
      </c>
    </row>
    <row r="612" spans="1:19" hidden="1" x14ac:dyDescent="0.3">
      <c r="A612">
        <v>611</v>
      </c>
      <c r="B612" s="1">
        <v>44165</v>
      </c>
      <c r="C612">
        <v>56</v>
      </c>
      <c r="D612" t="s">
        <v>54</v>
      </c>
      <c r="E612" t="s">
        <v>101</v>
      </c>
      <c r="F612">
        <v>36</v>
      </c>
      <c r="G612" s="2">
        <v>109</v>
      </c>
      <c r="H612" s="2">
        <v>3924</v>
      </c>
      <c r="I612" s="1">
        <v>0.05</v>
      </c>
      <c r="J612" s="2">
        <v>3727.8</v>
      </c>
      <c r="K612" s="1">
        <v>44177</v>
      </c>
      <c r="L612" s="1">
        <v>44177</v>
      </c>
      <c r="M612">
        <v>611</v>
      </c>
      <c r="N612">
        <v>4</v>
      </c>
      <c r="O612" t="s">
        <v>30</v>
      </c>
      <c r="P612" s="3">
        <v>0.1</v>
      </c>
      <c r="Q612" s="2">
        <v>372.78000000000003</v>
      </c>
      <c r="R612">
        <v>2</v>
      </c>
      <c r="S612" t="str">
        <f t="shared" si="9"/>
        <v>Novembro</v>
      </c>
    </row>
    <row r="613" spans="1:19" hidden="1" x14ac:dyDescent="0.3">
      <c r="A613">
        <v>612</v>
      </c>
      <c r="B613" s="1">
        <v>44166</v>
      </c>
      <c r="C613">
        <v>72</v>
      </c>
      <c r="D613" t="s">
        <v>31</v>
      </c>
      <c r="E613" t="s">
        <v>98</v>
      </c>
      <c r="F613">
        <v>18</v>
      </c>
      <c r="G613" s="2">
        <v>99</v>
      </c>
      <c r="H613" s="2">
        <v>1782</v>
      </c>
      <c r="I613" s="1">
        <v>0.02</v>
      </c>
      <c r="J613" s="2">
        <v>1746.36</v>
      </c>
      <c r="K613" s="1">
        <v>44168</v>
      </c>
      <c r="L613" s="1">
        <v>44168</v>
      </c>
      <c r="M613">
        <v>612</v>
      </c>
      <c r="N613">
        <v>4</v>
      </c>
      <c r="O613" t="s">
        <v>25</v>
      </c>
      <c r="P613" s="3">
        <v>0.09</v>
      </c>
      <c r="Q613" s="2">
        <v>157.17239999999998</v>
      </c>
      <c r="R613">
        <v>3</v>
      </c>
      <c r="S613" t="str">
        <f t="shared" si="9"/>
        <v>Dezembro</v>
      </c>
    </row>
    <row r="614" spans="1:19" hidden="1" x14ac:dyDescent="0.3">
      <c r="A614">
        <v>613</v>
      </c>
      <c r="B614" s="1">
        <v>44166</v>
      </c>
      <c r="C614">
        <v>11</v>
      </c>
      <c r="D614" t="s">
        <v>47</v>
      </c>
      <c r="E614" t="s">
        <v>96</v>
      </c>
      <c r="F614">
        <v>38</v>
      </c>
      <c r="G614" s="2">
        <v>115</v>
      </c>
      <c r="H614" s="2">
        <v>4370</v>
      </c>
      <c r="I614" s="1">
        <v>0.12</v>
      </c>
      <c r="J614" s="2">
        <v>3845.6</v>
      </c>
      <c r="K614" s="1">
        <v>44190</v>
      </c>
      <c r="L614" s="1">
        <v>44190</v>
      </c>
      <c r="M614">
        <v>613</v>
      </c>
      <c r="N614">
        <v>6</v>
      </c>
      <c r="O614" t="s">
        <v>56</v>
      </c>
      <c r="P614" s="3">
        <v>0.06</v>
      </c>
      <c r="Q614" s="2">
        <v>230.73599999999999</v>
      </c>
      <c r="R614">
        <v>4</v>
      </c>
      <c r="S614" t="str">
        <f t="shared" si="9"/>
        <v>Dezembro</v>
      </c>
    </row>
    <row r="615" spans="1:19" hidden="1" x14ac:dyDescent="0.3">
      <c r="A615">
        <v>614</v>
      </c>
      <c r="B615" s="1">
        <v>44166</v>
      </c>
      <c r="C615">
        <v>21</v>
      </c>
      <c r="D615" t="s">
        <v>74</v>
      </c>
      <c r="E615" t="s">
        <v>98</v>
      </c>
      <c r="F615">
        <v>21</v>
      </c>
      <c r="G615" s="2">
        <v>95</v>
      </c>
      <c r="H615" s="2">
        <v>1995</v>
      </c>
      <c r="I615" s="1">
        <v>0</v>
      </c>
      <c r="J615" s="2">
        <v>1995</v>
      </c>
      <c r="K615" s="1">
        <v>44195</v>
      </c>
      <c r="L615" s="1">
        <v>44195</v>
      </c>
      <c r="M615">
        <v>614</v>
      </c>
      <c r="N615">
        <v>7</v>
      </c>
      <c r="O615" t="s">
        <v>42</v>
      </c>
      <c r="P615" s="3">
        <v>0.1</v>
      </c>
      <c r="Q615" s="2">
        <v>199.5</v>
      </c>
      <c r="R615">
        <v>5</v>
      </c>
      <c r="S615" t="str">
        <f t="shared" si="9"/>
        <v>Dezembro</v>
      </c>
    </row>
    <row r="616" spans="1:19" hidden="1" x14ac:dyDescent="0.3">
      <c r="A616">
        <v>615</v>
      </c>
      <c r="B616" s="1">
        <v>44166</v>
      </c>
      <c r="C616">
        <v>15</v>
      </c>
      <c r="D616" t="s">
        <v>64</v>
      </c>
      <c r="E616" t="s">
        <v>95</v>
      </c>
      <c r="F616">
        <v>36</v>
      </c>
      <c r="G616" s="2">
        <v>113</v>
      </c>
      <c r="H616" s="2">
        <v>4068</v>
      </c>
      <c r="I616" s="1">
        <v>0.1</v>
      </c>
      <c r="J616" s="2">
        <v>3661.2</v>
      </c>
      <c r="K616" s="1">
        <v>44192</v>
      </c>
      <c r="L616" s="1">
        <v>44192</v>
      </c>
      <c r="M616">
        <v>615</v>
      </c>
      <c r="N616">
        <v>7</v>
      </c>
      <c r="O616" t="s">
        <v>18</v>
      </c>
      <c r="P616" s="3">
        <v>0.06</v>
      </c>
      <c r="Q616" s="2">
        <v>219.67199999999997</v>
      </c>
      <c r="R616">
        <v>6</v>
      </c>
      <c r="S616" t="str">
        <f t="shared" si="9"/>
        <v>Dezembro</v>
      </c>
    </row>
    <row r="617" spans="1:19" hidden="1" x14ac:dyDescent="0.3">
      <c r="A617">
        <v>616</v>
      </c>
      <c r="B617" s="1">
        <v>44166</v>
      </c>
      <c r="C617">
        <v>64</v>
      </c>
      <c r="D617" t="s">
        <v>65</v>
      </c>
      <c r="E617" t="s">
        <v>99</v>
      </c>
      <c r="F617">
        <v>16</v>
      </c>
      <c r="G617" s="2">
        <v>103</v>
      </c>
      <c r="H617" s="2">
        <v>1648</v>
      </c>
      <c r="I617" s="1">
        <v>0.15</v>
      </c>
      <c r="J617" s="2">
        <v>1400.8</v>
      </c>
      <c r="K617" s="1">
        <v>44190</v>
      </c>
      <c r="L617" s="1">
        <v>44190</v>
      </c>
      <c r="M617">
        <v>616</v>
      </c>
      <c r="N617">
        <v>4</v>
      </c>
      <c r="O617" t="s">
        <v>38</v>
      </c>
      <c r="P617" s="3">
        <v>0.05</v>
      </c>
      <c r="Q617" s="2">
        <v>70.040000000000006</v>
      </c>
      <c r="R617">
        <v>7</v>
      </c>
      <c r="S617" t="str">
        <f t="shared" si="9"/>
        <v>Dezembro</v>
      </c>
    </row>
    <row r="618" spans="1:19" hidden="1" x14ac:dyDescent="0.3">
      <c r="A618">
        <v>617</v>
      </c>
      <c r="B618" s="1">
        <v>44166</v>
      </c>
      <c r="C618">
        <v>95</v>
      </c>
      <c r="D618" t="s">
        <v>31</v>
      </c>
      <c r="E618" t="s">
        <v>104</v>
      </c>
      <c r="F618">
        <v>35</v>
      </c>
      <c r="G618" s="2">
        <v>110</v>
      </c>
      <c r="H618" s="2">
        <v>3850</v>
      </c>
      <c r="I618" s="1">
        <v>0.03</v>
      </c>
      <c r="J618" s="2">
        <v>3734.5</v>
      </c>
      <c r="K618" s="1">
        <v>44172</v>
      </c>
      <c r="L618" s="1">
        <v>44172</v>
      </c>
      <c r="M618">
        <v>617</v>
      </c>
      <c r="N618">
        <v>1</v>
      </c>
      <c r="O618" t="s">
        <v>25</v>
      </c>
      <c r="P618" s="3">
        <v>0.1</v>
      </c>
      <c r="Q618" s="2">
        <v>373.45000000000005</v>
      </c>
      <c r="R618">
        <v>1</v>
      </c>
      <c r="S618" t="str">
        <f t="shared" si="9"/>
        <v>Dezembro</v>
      </c>
    </row>
    <row r="619" spans="1:19" x14ac:dyDescent="0.3">
      <c r="A619">
        <v>618</v>
      </c>
      <c r="B619" s="1">
        <v>44167</v>
      </c>
      <c r="C619">
        <v>33</v>
      </c>
      <c r="D619" t="s">
        <v>63</v>
      </c>
      <c r="E619" t="s">
        <v>99</v>
      </c>
      <c r="F619">
        <v>16</v>
      </c>
      <c r="G619" s="2">
        <v>100</v>
      </c>
      <c r="H619" s="2">
        <v>1600</v>
      </c>
      <c r="I619" s="1">
        <v>0.03</v>
      </c>
      <c r="J619" s="2">
        <v>1552</v>
      </c>
      <c r="K619" s="1">
        <v>44168</v>
      </c>
      <c r="L619" s="1">
        <v>44168</v>
      </c>
      <c r="M619">
        <v>618</v>
      </c>
      <c r="N619">
        <v>6</v>
      </c>
      <c r="O619" t="s">
        <v>35</v>
      </c>
      <c r="P619" s="3">
        <v>0.08</v>
      </c>
      <c r="Q619" s="2">
        <v>124.16</v>
      </c>
      <c r="R619">
        <v>2</v>
      </c>
      <c r="S619" t="str">
        <f t="shared" si="9"/>
        <v>Dezembro</v>
      </c>
    </row>
    <row r="620" spans="1:19" hidden="1" x14ac:dyDescent="0.3">
      <c r="A620">
        <v>619</v>
      </c>
      <c r="B620" s="1">
        <v>44167</v>
      </c>
      <c r="C620">
        <v>18</v>
      </c>
      <c r="D620" t="s">
        <v>70</v>
      </c>
      <c r="E620" t="s">
        <v>98</v>
      </c>
      <c r="F620">
        <v>28</v>
      </c>
      <c r="G620" s="2">
        <v>96</v>
      </c>
      <c r="H620" s="2">
        <v>2688</v>
      </c>
      <c r="I620" s="1">
        <v>0.04</v>
      </c>
      <c r="J620" s="2">
        <v>2580.48</v>
      </c>
      <c r="K620" s="1">
        <v>44178</v>
      </c>
      <c r="L620" s="1">
        <v>44178</v>
      </c>
      <c r="M620">
        <v>619</v>
      </c>
      <c r="N620">
        <v>4</v>
      </c>
      <c r="O620" t="s">
        <v>30</v>
      </c>
      <c r="P620" s="3">
        <v>0.06</v>
      </c>
      <c r="Q620" s="2">
        <v>154.8288</v>
      </c>
      <c r="R620">
        <v>3</v>
      </c>
      <c r="S620" t="str">
        <f t="shared" si="9"/>
        <v>Dezembro</v>
      </c>
    </row>
    <row r="621" spans="1:19" hidden="1" x14ac:dyDescent="0.3">
      <c r="A621">
        <v>620</v>
      </c>
      <c r="B621" s="1">
        <v>44167</v>
      </c>
      <c r="C621">
        <v>29</v>
      </c>
      <c r="D621" t="s">
        <v>85</v>
      </c>
      <c r="E621" t="s">
        <v>103</v>
      </c>
      <c r="F621">
        <v>22</v>
      </c>
      <c r="G621" s="2">
        <v>92</v>
      </c>
      <c r="H621" s="2">
        <v>2024</v>
      </c>
      <c r="I621" s="1">
        <v>0.13</v>
      </c>
      <c r="J621" s="2">
        <v>1760.88</v>
      </c>
      <c r="K621" s="1">
        <v>44186</v>
      </c>
      <c r="L621" s="1">
        <v>44186</v>
      </c>
      <c r="M621">
        <v>620</v>
      </c>
      <c r="N621">
        <v>5</v>
      </c>
      <c r="O621" t="s">
        <v>42</v>
      </c>
      <c r="P621" s="3">
        <v>0.08</v>
      </c>
      <c r="Q621" s="2">
        <v>140.87040000000002</v>
      </c>
      <c r="R621">
        <v>4</v>
      </c>
      <c r="S621" t="str">
        <f t="shared" si="9"/>
        <v>Dezembro</v>
      </c>
    </row>
    <row r="622" spans="1:19" hidden="1" x14ac:dyDescent="0.3">
      <c r="A622">
        <v>621</v>
      </c>
      <c r="B622" s="1">
        <v>44167</v>
      </c>
      <c r="C622">
        <v>75</v>
      </c>
      <c r="D622" t="s">
        <v>31</v>
      </c>
      <c r="E622" t="s">
        <v>102</v>
      </c>
      <c r="F622">
        <v>19</v>
      </c>
      <c r="G622" s="2">
        <v>112</v>
      </c>
      <c r="H622" s="2">
        <v>2128</v>
      </c>
      <c r="I622" s="1">
        <v>0.04</v>
      </c>
      <c r="J622" s="2">
        <v>2042.88</v>
      </c>
      <c r="K622" s="1">
        <v>44195</v>
      </c>
      <c r="L622" s="1">
        <v>44195</v>
      </c>
      <c r="M622">
        <v>621</v>
      </c>
      <c r="N622">
        <v>6</v>
      </c>
      <c r="O622" t="s">
        <v>20</v>
      </c>
      <c r="P622" s="3">
        <v>0.05</v>
      </c>
      <c r="Q622" s="2">
        <v>102.14400000000001</v>
      </c>
      <c r="R622">
        <v>5</v>
      </c>
      <c r="S622" t="str">
        <f t="shared" si="9"/>
        <v>Dezembro</v>
      </c>
    </row>
    <row r="623" spans="1:19" hidden="1" x14ac:dyDescent="0.3">
      <c r="A623">
        <v>622</v>
      </c>
      <c r="B623" s="1">
        <v>44168</v>
      </c>
      <c r="C623">
        <v>26</v>
      </c>
      <c r="D623" t="s">
        <v>82</v>
      </c>
      <c r="E623" t="s">
        <v>96</v>
      </c>
      <c r="F623">
        <v>38</v>
      </c>
      <c r="G623" s="2">
        <v>90</v>
      </c>
      <c r="H623" s="2">
        <v>3420</v>
      </c>
      <c r="I623" s="1">
        <v>0.15</v>
      </c>
      <c r="J623" s="2">
        <v>2907</v>
      </c>
      <c r="K623" s="1">
        <v>44180</v>
      </c>
      <c r="L623" s="1">
        <v>44180</v>
      </c>
      <c r="M623">
        <v>622</v>
      </c>
      <c r="N623">
        <v>3</v>
      </c>
      <c r="O623" t="s">
        <v>42</v>
      </c>
      <c r="P623" s="3">
        <v>0.06</v>
      </c>
      <c r="Q623" s="2">
        <v>174.42</v>
      </c>
      <c r="R623">
        <v>6</v>
      </c>
      <c r="S623" t="str">
        <f t="shared" si="9"/>
        <v>Dezembro</v>
      </c>
    </row>
    <row r="624" spans="1:19" hidden="1" x14ac:dyDescent="0.3">
      <c r="A624">
        <v>623</v>
      </c>
      <c r="B624" s="1">
        <v>44168</v>
      </c>
      <c r="C624">
        <v>49</v>
      </c>
      <c r="D624" t="s">
        <v>31</v>
      </c>
      <c r="E624" t="s">
        <v>104</v>
      </c>
      <c r="F624">
        <v>32</v>
      </c>
      <c r="G624" s="2">
        <v>96</v>
      </c>
      <c r="H624" s="2">
        <v>3072</v>
      </c>
      <c r="I624" s="1">
        <v>0.15</v>
      </c>
      <c r="J624" s="2">
        <v>2611.1999999999998</v>
      </c>
      <c r="K624" s="1">
        <v>44178</v>
      </c>
      <c r="L624" s="1">
        <v>44178</v>
      </c>
      <c r="M624">
        <v>623</v>
      </c>
      <c r="N624">
        <v>4</v>
      </c>
      <c r="O624" t="s">
        <v>30</v>
      </c>
      <c r="P624" s="3">
        <v>0.08</v>
      </c>
      <c r="Q624" s="2">
        <v>208.89599999999999</v>
      </c>
      <c r="R624">
        <v>7</v>
      </c>
      <c r="S624" t="str">
        <f t="shared" si="9"/>
        <v>Dezembro</v>
      </c>
    </row>
    <row r="625" spans="1:19" hidden="1" x14ac:dyDescent="0.3">
      <c r="A625">
        <v>624</v>
      </c>
      <c r="B625" s="1">
        <v>44168</v>
      </c>
      <c r="C625">
        <v>83</v>
      </c>
      <c r="D625" t="s">
        <v>87</v>
      </c>
      <c r="E625" t="s">
        <v>101</v>
      </c>
      <c r="F625">
        <v>19</v>
      </c>
      <c r="G625" s="2">
        <v>106</v>
      </c>
      <c r="H625" s="2">
        <v>2014</v>
      </c>
      <c r="I625" s="1">
        <v>0.15</v>
      </c>
      <c r="J625" s="2">
        <v>1711.9</v>
      </c>
      <c r="K625" s="1">
        <v>44172</v>
      </c>
      <c r="L625" s="1">
        <v>44172</v>
      </c>
      <c r="M625">
        <v>624</v>
      </c>
      <c r="N625">
        <v>5</v>
      </c>
      <c r="O625" t="s">
        <v>27</v>
      </c>
      <c r="P625" s="3">
        <v>0.06</v>
      </c>
      <c r="Q625" s="2">
        <v>102.714</v>
      </c>
      <c r="R625">
        <v>1</v>
      </c>
      <c r="S625" t="str">
        <f t="shared" si="9"/>
        <v>Dezembro</v>
      </c>
    </row>
    <row r="626" spans="1:19" hidden="1" x14ac:dyDescent="0.3">
      <c r="A626">
        <v>625</v>
      </c>
      <c r="B626" s="1">
        <v>44168</v>
      </c>
      <c r="C626">
        <v>21</v>
      </c>
      <c r="D626" t="s">
        <v>74</v>
      </c>
      <c r="E626" t="s">
        <v>97</v>
      </c>
      <c r="F626">
        <v>27</v>
      </c>
      <c r="G626" s="2">
        <v>104</v>
      </c>
      <c r="H626" s="2">
        <v>2808</v>
      </c>
      <c r="I626" s="1">
        <v>0.14000000000000001</v>
      </c>
      <c r="J626" s="2">
        <v>2414.88</v>
      </c>
      <c r="K626" s="1">
        <v>44171</v>
      </c>
      <c r="L626" s="1">
        <v>44171</v>
      </c>
      <c r="M626">
        <v>625</v>
      </c>
      <c r="N626">
        <v>2</v>
      </c>
      <c r="O626" t="s">
        <v>20</v>
      </c>
      <c r="P626" s="3">
        <v>0.1</v>
      </c>
      <c r="Q626" s="2">
        <v>241.48800000000003</v>
      </c>
      <c r="R626">
        <v>2</v>
      </c>
      <c r="S626" t="str">
        <f t="shared" si="9"/>
        <v>Dezembro</v>
      </c>
    </row>
    <row r="627" spans="1:19" hidden="1" x14ac:dyDescent="0.3">
      <c r="A627">
        <v>626</v>
      </c>
      <c r="B627" s="1">
        <v>44169</v>
      </c>
      <c r="C627">
        <v>59</v>
      </c>
      <c r="D627" t="s">
        <v>84</v>
      </c>
      <c r="E627" t="s">
        <v>98</v>
      </c>
      <c r="F627">
        <v>42</v>
      </c>
      <c r="G627" s="2">
        <v>110</v>
      </c>
      <c r="H627" s="2">
        <v>4620</v>
      </c>
      <c r="I627" s="1">
        <v>0.1</v>
      </c>
      <c r="J627" s="2">
        <v>4158</v>
      </c>
      <c r="K627" s="1">
        <v>44187</v>
      </c>
      <c r="L627" s="1">
        <v>44187</v>
      </c>
      <c r="M627">
        <v>626</v>
      </c>
      <c r="N627">
        <v>6</v>
      </c>
      <c r="O627" t="s">
        <v>38</v>
      </c>
      <c r="P627" s="3">
        <v>0.05</v>
      </c>
      <c r="Q627" s="2">
        <v>207.9</v>
      </c>
      <c r="R627">
        <v>3</v>
      </c>
      <c r="S627" t="str">
        <f t="shared" si="9"/>
        <v>Dezembro</v>
      </c>
    </row>
    <row r="628" spans="1:19" hidden="1" x14ac:dyDescent="0.3">
      <c r="A628">
        <v>627</v>
      </c>
      <c r="B628" s="1">
        <v>44170</v>
      </c>
      <c r="C628">
        <v>6</v>
      </c>
      <c r="D628" t="s">
        <v>75</v>
      </c>
      <c r="E628" t="s">
        <v>95</v>
      </c>
      <c r="F628">
        <v>48</v>
      </c>
      <c r="G628" s="2">
        <v>99</v>
      </c>
      <c r="H628" s="2">
        <v>4752</v>
      </c>
      <c r="I628" s="1">
        <v>0.08</v>
      </c>
      <c r="J628" s="2">
        <v>4371.84</v>
      </c>
      <c r="K628" s="1">
        <v>44183</v>
      </c>
      <c r="L628" s="1">
        <v>44183</v>
      </c>
      <c r="M628">
        <v>627</v>
      </c>
      <c r="N628">
        <v>5</v>
      </c>
      <c r="O628" t="s">
        <v>20</v>
      </c>
      <c r="P628" s="3">
        <v>0.1</v>
      </c>
      <c r="Q628" s="2">
        <v>437.18400000000003</v>
      </c>
      <c r="R628">
        <v>4</v>
      </c>
      <c r="S628" t="str">
        <f t="shared" si="9"/>
        <v>Dezembro</v>
      </c>
    </row>
    <row r="629" spans="1:19" hidden="1" x14ac:dyDescent="0.3">
      <c r="A629">
        <v>628</v>
      </c>
      <c r="B629" s="1">
        <v>44170</v>
      </c>
      <c r="C629">
        <v>90</v>
      </c>
      <c r="D629" t="s">
        <v>47</v>
      </c>
      <c r="E629" t="s">
        <v>101</v>
      </c>
      <c r="F629">
        <v>24</v>
      </c>
      <c r="G629" s="2">
        <v>96</v>
      </c>
      <c r="H629" s="2">
        <v>2304</v>
      </c>
      <c r="I629" s="1">
        <v>0.1</v>
      </c>
      <c r="J629" s="2">
        <v>2073.6</v>
      </c>
      <c r="K629" s="1">
        <v>44187</v>
      </c>
      <c r="L629" s="1">
        <v>44187</v>
      </c>
      <c r="M629">
        <v>628</v>
      </c>
      <c r="N629">
        <v>1</v>
      </c>
      <c r="O629" t="s">
        <v>23</v>
      </c>
      <c r="P629" s="3">
        <v>0.09</v>
      </c>
      <c r="Q629" s="2">
        <v>186.624</v>
      </c>
      <c r="R629">
        <v>5</v>
      </c>
      <c r="S629" t="str">
        <f t="shared" si="9"/>
        <v>Dezembro</v>
      </c>
    </row>
    <row r="630" spans="1:19" hidden="1" x14ac:dyDescent="0.3">
      <c r="A630">
        <v>629</v>
      </c>
      <c r="B630" s="1">
        <v>44171</v>
      </c>
      <c r="C630">
        <v>44</v>
      </c>
      <c r="D630" t="s">
        <v>58</v>
      </c>
      <c r="E630" t="s">
        <v>104</v>
      </c>
      <c r="F630">
        <v>47</v>
      </c>
      <c r="G630" s="2">
        <v>109</v>
      </c>
      <c r="H630" s="2">
        <v>5123</v>
      </c>
      <c r="I630" s="1">
        <v>0.05</v>
      </c>
      <c r="J630" s="2">
        <v>4866.8500000000004</v>
      </c>
      <c r="K630" s="1">
        <v>44198</v>
      </c>
      <c r="L630" s="1">
        <v>44198</v>
      </c>
      <c r="M630">
        <v>629</v>
      </c>
      <c r="N630">
        <v>5</v>
      </c>
      <c r="O630" t="s">
        <v>42</v>
      </c>
      <c r="P630" s="3">
        <v>0.05</v>
      </c>
      <c r="Q630" s="2">
        <v>243.34250000000003</v>
      </c>
      <c r="R630">
        <v>6</v>
      </c>
      <c r="S630" t="str">
        <f t="shared" si="9"/>
        <v>Dezembro</v>
      </c>
    </row>
    <row r="631" spans="1:19" hidden="1" x14ac:dyDescent="0.3">
      <c r="A631">
        <v>630</v>
      </c>
      <c r="B631" s="1">
        <v>44171</v>
      </c>
      <c r="C631">
        <v>77</v>
      </c>
      <c r="D631" t="s">
        <v>52</v>
      </c>
      <c r="E631" t="s">
        <v>103</v>
      </c>
      <c r="F631">
        <v>42</v>
      </c>
      <c r="G631" s="2">
        <v>102</v>
      </c>
      <c r="H631" s="2">
        <v>4284</v>
      </c>
      <c r="I631" s="1">
        <v>0.14000000000000001</v>
      </c>
      <c r="J631" s="2">
        <v>3684.24</v>
      </c>
      <c r="K631" s="1">
        <v>44185</v>
      </c>
      <c r="L631" s="1">
        <v>44185</v>
      </c>
      <c r="M631">
        <v>630</v>
      </c>
      <c r="N631">
        <v>2</v>
      </c>
      <c r="O631" t="s">
        <v>20</v>
      </c>
      <c r="P631" s="3">
        <v>0.06</v>
      </c>
      <c r="Q631" s="2">
        <v>221.05439999999999</v>
      </c>
      <c r="R631">
        <v>7</v>
      </c>
      <c r="S631" t="str">
        <f t="shared" si="9"/>
        <v>Dezembro</v>
      </c>
    </row>
    <row r="632" spans="1:19" hidden="1" x14ac:dyDescent="0.3">
      <c r="A632">
        <v>631</v>
      </c>
      <c r="B632" s="1">
        <v>44171</v>
      </c>
      <c r="C632">
        <v>4</v>
      </c>
      <c r="D632" t="s">
        <v>73</v>
      </c>
      <c r="E632" t="s">
        <v>102</v>
      </c>
      <c r="F632">
        <v>35</v>
      </c>
      <c r="G632" s="2">
        <v>115</v>
      </c>
      <c r="H632" s="2">
        <v>4025</v>
      </c>
      <c r="I632" s="1">
        <v>0.12</v>
      </c>
      <c r="J632" s="2">
        <v>3542</v>
      </c>
      <c r="K632" s="1">
        <v>44186</v>
      </c>
      <c r="L632" s="1">
        <v>44186</v>
      </c>
      <c r="M632">
        <v>631</v>
      </c>
      <c r="N632">
        <v>3</v>
      </c>
      <c r="O632" t="s">
        <v>25</v>
      </c>
      <c r="P632" s="3">
        <v>0.06</v>
      </c>
      <c r="Q632" s="2">
        <v>212.51999999999998</v>
      </c>
      <c r="R632">
        <v>1</v>
      </c>
      <c r="S632" t="str">
        <f t="shared" si="9"/>
        <v>Dezembro</v>
      </c>
    </row>
    <row r="633" spans="1:19" hidden="1" x14ac:dyDescent="0.3">
      <c r="A633">
        <v>632</v>
      </c>
      <c r="B633" s="1">
        <v>44172</v>
      </c>
      <c r="C633">
        <v>43</v>
      </c>
      <c r="D633" t="s">
        <v>86</v>
      </c>
      <c r="E633" t="s">
        <v>96</v>
      </c>
      <c r="F633">
        <v>39</v>
      </c>
      <c r="G633" s="2">
        <v>118</v>
      </c>
      <c r="H633" s="2">
        <v>4602</v>
      </c>
      <c r="I633" s="1">
        <v>0.12</v>
      </c>
      <c r="J633" s="2">
        <v>4049.76</v>
      </c>
      <c r="K633" s="1">
        <v>44197</v>
      </c>
      <c r="L633" s="1">
        <v>44197</v>
      </c>
      <c r="M633">
        <v>632</v>
      </c>
      <c r="N633">
        <v>3</v>
      </c>
      <c r="O633" t="s">
        <v>25</v>
      </c>
      <c r="P633" s="3">
        <v>7.0000000000000007E-2</v>
      </c>
      <c r="Q633" s="2">
        <v>283.48320000000007</v>
      </c>
      <c r="R633">
        <v>2</v>
      </c>
      <c r="S633" t="str">
        <f t="shared" si="9"/>
        <v>Dezembro</v>
      </c>
    </row>
    <row r="634" spans="1:19" hidden="1" x14ac:dyDescent="0.3">
      <c r="A634">
        <v>633</v>
      </c>
      <c r="B634" s="1">
        <v>44172</v>
      </c>
      <c r="C634">
        <v>63</v>
      </c>
      <c r="D634" t="s">
        <v>67</v>
      </c>
      <c r="E634" t="s">
        <v>102</v>
      </c>
      <c r="F634">
        <v>32</v>
      </c>
      <c r="G634" s="2">
        <v>108</v>
      </c>
      <c r="H634" s="2">
        <v>3456</v>
      </c>
      <c r="I634" s="1">
        <v>0.11</v>
      </c>
      <c r="J634" s="2">
        <v>3075.84</v>
      </c>
      <c r="K634" s="1">
        <v>44200</v>
      </c>
      <c r="L634" s="1">
        <v>44200</v>
      </c>
      <c r="M634">
        <v>633</v>
      </c>
      <c r="N634">
        <v>4</v>
      </c>
      <c r="O634" t="s">
        <v>38</v>
      </c>
      <c r="P634" s="3">
        <v>0.08</v>
      </c>
      <c r="Q634" s="2">
        <v>246.06720000000001</v>
      </c>
      <c r="R634">
        <v>3</v>
      </c>
      <c r="S634" t="str">
        <f t="shared" si="9"/>
        <v>Dezembro</v>
      </c>
    </row>
    <row r="635" spans="1:19" hidden="1" x14ac:dyDescent="0.3">
      <c r="A635">
        <v>634</v>
      </c>
      <c r="B635" s="1">
        <v>44173</v>
      </c>
      <c r="C635">
        <v>2</v>
      </c>
      <c r="D635" t="s">
        <v>28</v>
      </c>
      <c r="E635" t="s">
        <v>99</v>
      </c>
      <c r="F635">
        <v>15</v>
      </c>
      <c r="G635" s="2">
        <v>117</v>
      </c>
      <c r="H635" s="2">
        <v>1755</v>
      </c>
      <c r="I635" s="1">
        <v>0.08</v>
      </c>
      <c r="J635" s="2">
        <v>1614.6</v>
      </c>
      <c r="K635" s="1">
        <v>44197</v>
      </c>
      <c r="L635" s="1">
        <v>44197</v>
      </c>
      <c r="M635">
        <v>634</v>
      </c>
      <c r="N635">
        <v>4</v>
      </c>
      <c r="O635" t="s">
        <v>56</v>
      </c>
      <c r="P635" s="3">
        <v>7.0000000000000007E-2</v>
      </c>
      <c r="Q635" s="2">
        <v>113.02200000000001</v>
      </c>
      <c r="R635">
        <v>4</v>
      </c>
      <c r="S635" t="str">
        <f t="shared" si="9"/>
        <v>Dezembro</v>
      </c>
    </row>
    <row r="636" spans="1:19" hidden="1" x14ac:dyDescent="0.3">
      <c r="A636">
        <v>635</v>
      </c>
      <c r="B636" s="1">
        <v>44173</v>
      </c>
      <c r="C636">
        <v>93</v>
      </c>
      <c r="D636" t="s">
        <v>26</v>
      </c>
      <c r="E636" t="s">
        <v>96</v>
      </c>
      <c r="F636">
        <v>45</v>
      </c>
      <c r="G636" s="2">
        <v>100</v>
      </c>
      <c r="H636" s="2">
        <v>4500</v>
      </c>
      <c r="I636" s="1">
        <v>0.02</v>
      </c>
      <c r="J636" s="2">
        <v>4410</v>
      </c>
      <c r="K636" s="1">
        <v>44198</v>
      </c>
      <c r="L636" s="1">
        <v>44198</v>
      </c>
      <c r="M636">
        <v>635</v>
      </c>
      <c r="N636">
        <v>6</v>
      </c>
      <c r="O636" t="s">
        <v>23</v>
      </c>
      <c r="P636" s="3">
        <v>0.09</v>
      </c>
      <c r="Q636" s="2">
        <v>396.9</v>
      </c>
      <c r="R636">
        <v>5</v>
      </c>
      <c r="S636" t="str">
        <f t="shared" si="9"/>
        <v>Dezembro</v>
      </c>
    </row>
    <row r="637" spans="1:19" hidden="1" x14ac:dyDescent="0.3">
      <c r="A637">
        <v>636</v>
      </c>
      <c r="B637" s="1">
        <v>44174</v>
      </c>
      <c r="C637">
        <v>11</v>
      </c>
      <c r="D637" t="s">
        <v>47</v>
      </c>
      <c r="E637" t="s">
        <v>103</v>
      </c>
      <c r="F637">
        <v>34</v>
      </c>
      <c r="G637" s="2">
        <v>103</v>
      </c>
      <c r="H637" s="2">
        <v>3502</v>
      </c>
      <c r="I637" s="1">
        <v>0.02</v>
      </c>
      <c r="J637" s="2">
        <v>3431.96</v>
      </c>
      <c r="K637" s="1">
        <v>44187</v>
      </c>
      <c r="L637" s="1">
        <v>44187</v>
      </c>
      <c r="M637">
        <v>636</v>
      </c>
      <c r="N637">
        <v>7</v>
      </c>
      <c r="O637" t="s">
        <v>27</v>
      </c>
      <c r="P637" s="3">
        <v>0.09</v>
      </c>
      <c r="Q637" s="2">
        <v>308.87639999999999</v>
      </c>
      <c r="R637">
        <v>6</v>
      </c>
      <c r="S637" t="str">
        <f t="shared" si="9"/>
        <v>Dezembro</v>
      </c>
    </row>
    <row r="638" spans="1:19" hidden="1" x14ac:dyDescent="0.3">
      <c r="A638">
        <v>637</v>
      </c>
      <c r="B638" s="1">
        <v>44176</v>
      </c>
      <c r="C638">
        <v>64</v>
      </c>
      <c r="D638" t="s">
        <v>65</v>
      </c>
      <c r="E638" t="s">
        <v>98</v>
      </c>
      <c r="F638">
        <v>13</v>
      </c>
      <c r="G638" s="2">
        <v>101</v>
      </c>
      <c r="H638" s="2">
        <v>1313</v>
      </c>
      <c r="I638" s="1">
        <v>0.12</v>
      </c>
      <c r="J638" s="2">
        <v>1155.44</v>
      </c>
      <c r="K638" s="1">
        <v>44203</v>
      </c>
      <c r="L638" s="1">
        <v>44203</v>
      </c>
      <c r="M638">
        <v>637</v>
      </c>
      <c r="N638">
        <v>7</v>
      </c>
      <c r="O638" t="s">
        <v>30</v>
      </c>
      <c r="P638" s="3">
        <v>7.0000000000000007E-2</v>
      </c>
      <c r="Q638" s="2">
        <v>80.880800000000008</v>
      </c>
      <c r="R638">
        <v>7</v>
      </c>
      <c r="S638" t="str">
        <f t="shared" si="9"/>
        <v>Dezembro</v>
      </c>
    </row>
    <row r="639" spans="1:19" hidden="1" x14ac:dyDescent="0.3">
      <c r="A639">
        <v>638</v>
      </c>
      <c r="B639" s="1">
        <v>44176</v>
      </c>
      <c r="C639">
        <v>85</v>
      </c>
      <c r="D639" t="s">
        <v>45</v>
      </c>
      <c r="E639" t="s">
        <v>104</v>
      </c>
      <c r="F639">
        <v>47</v>
      </c>
      <c r="G639" s="2">
        <v>115</v>
      </c>
      <c r="H639" s="2">
        <v>5405</v>
      </c>
      <c r="I639" s="1">
        <v>0.01</v>
      </c>
      <c r="J639" s="2">
        <v>5350.95</v>
      </c>
      <c r="K639" s="1">
        <v>44196</v>
      </c>
      <c r="L639" s="1">
        <v>44196</v>
      </c>
      <c r="M639">
        <v>638</v>
      </c>
      <c r="N639">
        <v>6</v>
      </c>
      <c r="O639" t="s">
        <v>56</v>
      </c>
      <c r="P639" s="3">
        <v>0.1</v>
      </c>
      <c r="Q639" s="2">
        <v>535.09500000000003</v>
      </c>
      <c r="R639">
        <v>1</v>
      </c>
      <c r="S639" t="str">
        <f t="shared" si="9"/>
        <v>Dezembro</v>
      </c>
    </row>
    <row r="640" spans="1:19" hidden="1" x14ac:dyDescent="0.3">
      <c r="A640">
        <v>639</v>
      </c>
      <c r="B640" s="1">
        <v>44177</v>
      </c>
      <c r="C640">
        <v>1</v>
      </c>
      <c r="D640" t="s">
        <v>80</v>
      </c>
      <c r="E640" t="s">
        <v>101</v>
      </c>
      <c r="F640">
        <v>29</v>
      </c>
      <c r="G640" s="2">
        <v>103</v>
      </c>
      <c r="H640" s="2">
        <v>2987</v>
      </c>
      <c r="I640" s="1">
        <v>0.11</v>
      </c>
      <c r="J640" s="2">
        <v>2658.43</v>
      </c>
      <c r="K640" s="1">
        <v>44184</v>
      </c>
      <c r="L640" s="1">
        <v>44184</v>
      </c>
      <c r="M640">
        <v>639</v>
      </c>
      <c r="N640">
        <v>5</v>
      </c>
      <c r="O640" t="s">
        <v>20</v>
      </c>
      <c r="P640" s="3">
        <v>0.09</v>
      </c>
      <c r="Q640" s="2">
        <v>239.25869999999998</v>
      </c>
      <c r="R640">
        <v>2</v>
      </c>
      <c r="S640" t="str">
        <f t="shared" si="9"/>
        <v>Dezembro</v>
      </c>
    </row>
    <row r="641" spans="1:19" hidden="1" x14ac:dyDescent="0.3">
      <c r="A641">
        <v>640</v>
      </c>
      <c r="B641" s="1">
        <v>44177</v>
      </c>
      <c r="C641">
        <v>40</v>
      </c>
      <c r="D641" t="s">
        <v>40</v>
      </c>
      <c r="E641" t="s">
        <v>99</v>
      </c>
      <c r="F641">
        <v>40</v>
      </c>
      <c r="G641" s="2">
        <v>115</v>
      </c>
      <c r="H641" s="2">
        <v>4600</v>
      </c>
      <c r="I641" s="1">
        <v>0.09</v>
      </c>
      <c r="J641" s="2">
        <v>4186</v>
      </c>
      <c r="K641" s="1">
        <v>44181</v>
      </c>
      <c r="L641" s="1">
        <v>44181</v>
      </c>
      <c r="M641">
        <v>640</v>
      </c>
      <c r="N641">
        <v>3</v>
      </c>
      <c r="O641" t="s">
        <v>18</v>
      </c>
      <c r="P641" s="3">
        <v>0.09</v>
      </c>
      <c r="Q641" s="2">
        <v>376.74</v>
      </c>
      <c r="R641">
        <v>3</v>
      </c>
      <c r="S641" t="str">
        <f t="shared" si="9"/>
        <v>Dezembro</v>
      </c>
    </row>
    <row r="642" spans="1:19" hidden="1" x14ac:dyDescent="0.3">
      <c r="A642">
        <v>641</v>
      </c>
      <c r="B642" s="1">
        <v>44179</v>
      </c>
      <c r="C642">
        <v>36</v>
      </c>
      <c r="D642" t="s">
        <v>57</v>
      </c>
      <c r="E642" t="s">
        <v>95</v>
      </c>
      <c r="F642">
        <v>23</v>
      </c>
      <c r="G642" s="2">
        <v>90</v>
      </c>
      <c r="H642" s="2">
        <v>2070</v>
      </c>
      <c r="I642" s="1">
        <v>0.13</v>
      </c>
      <c r="J642" s="2">
        <v>1800.9</v>
      </c>
      <c r="K642" s="1">
        <v>44188</v>
      </c>
      <c r="L642" s="1">
        <v>44188</v>
      </c>
      <c r="M642">
        <v>641</v>
      </c>
      <c r="N642">
        <v>5</v>
      </c>
      <c r="O642" t="s">
        <v>27</v>
      </c>
      <c r="P642" s="3">
        <v>0.06</v>
      </c>
      <c r="Q642" s="2">
        <v>108.054</v>
      </c>
      <c r="R642">
        <v>4</v>
      </c>
      <c r="S642" t="str">
        <f t="shared" si="9"/>
        <v>Dezembro</v>
      </c>
    </row>
    <row r="643" spans="1:19" hidden="1" x14ac:dyDescent="0.3">
      <c r="A643">
        <v>642</v>
      </c>
      <c r="B643" s="1">
        <v>44179</v>
      </c>
      <c r="C643">
        <v>21</v>
      </c>
      <c r="D643" t="s">
        <v>74</v>
      </c>
      <c r="E643" t="s">
        <v>95</v>
      </c>
      <c r="F643">
        <v>31</v>
      </c>
      <c r="G643" s="2">
        <v>100</v>
      </c>
      <c r="H643" s="2">
        <v>3100</v>
      </c>
      <c r="I643" s="1">
        <v>0.11</v>
      </c>
      <c r="J643" s="2">
        <v>2759</v>
      </c>
      <c r="K643" s="1">
        <v>44203</v>
      </c>
      <c r="L643" s="1">
        <v>44203</v>
      </c>
      <c r="M643">
        <v>642</v>
      </c>
      <c r="N643">
        <v>1</v>
      </c>
      <c r="O643" t="s">
        <v>42</v>
      </c>
      <c r="P643" s="3">
        <v>0.05</v>
      </c>
      <c r="Q643" s="2">
        <v>137.95000000000002</v>
      </c>
      <c r="R643">
        <v>5</v>
      </c>
      <c r="S643" t="str">
        <f t="shared" ref="S643:S706" si="10">PROPER(TEXT(B643,"mmmm"))</f>
        <v>Dezembro</v>
      </c>
    </row>
    <row r="644" spans="1:19" x14ac:dyDescent="0.3">
      <c r="A644">
        <v>643</v>
      </c>
      <c r="B644" s="1">
        <v>44179</v>
      </c>
      <c r="C644">
        <v>55</v>
      </c>
      <c r="D644" t="s">
        <v>36</v>
      </c>
      <c r="E644" t="s">
        <v>96</v>
      </c>
      <c r="F644">
        <v>25</v>
      </c>
      <c r="G644" s="2">
        <v>96</v>
      </c>
      <c r="H644" s="2">
        <v>2400</v>
      </c>
      <c r="I644" s="1">
        <v>0.03</v>
      </c>
      <c r="J644" s="2">
        <v>2328</v>
      </c>
      <c r="K644" s="1">
        <v>44189</v>
      </c>
      <c r="L644" s="1">
        <v>44189</v>
      </c>
      <c r="M644">
        <v>643</v>
      </c>
      <c r="N644">
        <v>5</v>
      </c>
      <c r="O644" t="s">
        <v>35</v>
      </c>
      <c r="P644" s="3">
        <v>0.05</v>
      </c>
      <c r="Q644" s="2">
        <v>116.4</v>
      </c>
      <c r="R644">
        <v>6</v>
      </c>
      <c r="S644" t="str">
        <f t="shared" si="10"/>
        <v>Dezembro</v>
      </c>
    </row>
    <row r="645" spans="1:19" hidden="1" x14ac:dyDescent="0.3">
      <c r="A645">
        <v>644</v>
      </c>
      <c r="B645" s="1">
        <v>44180</v>
      </c>
      <c r="C645">
        <v>84</v>
      </c>
      <c r="D645" t="s">
        <v>36</v>
      </c>
      <c r="E645" t="s">
        <v>96</v>
      </c>
      <c r="F645">
        <v>12</v>
      </c>
      <c r="G645" s="2">
        <v>94</v>
      </c>
      <c r="H645" s="2">
        <v>1128</v>
      </c>
      <c r="I645" s="1">
        <v>0.05</v>
      </c>
      <c r="J645" s="2">
        <v>1071.5999999999999</v>
      </c>
      <c r="K645" s="1">
        <v>44187</v>
      </c>
      <c r="L645" s="1">
        <v>44187</v>
      </c>
      <c r="M645">
        <v>644</v>
      </c>
      <c r="N645">
        <v>2</v>
      </c>
      <c r="O645" t="s">
        <v>25</v>
      </c>
      <c r="P645" s="3">
        <v>0.1</v>
      </c>
      <c r="Q645" s="2">
        <v>107.16</v>
      </c>
      <c r="R645">
        <v>7</v>
      </c>
      <c r="S645" t="str">
        <f t="shared" si="10"/>
        <v>Dezembro</v>
      </c>
    </row>
    <row r="646" spans="1:19" hidden="1" x14ac:dyDescent="0.3">
      <c r="A646">
        <v>645</v>
      </c>
      <c r="B646" s="1">
        <v>44180</v>
      </c>
      <c r="C646">
        <v>18</v>
      </c>
      <c r="D646" t="s">
        <v>70</v>
      </c>
      <c r="E646" t="s">
        <v>104</v>
      </c>
      <c r="F646">
        <v>48</v>
      </c>
      <c r="G646" s="2">
        <v>96</v>
      </c>
      <c r="H646" s="2">
        <v>4608</v>
      </c>
      <c r="I646" s="1">
        <v>0.06</v>
      </c>
      <c r="J646" s="2">
        <v>4331.5200000000004</v>
      </c>
      <c r="K646" s="1">
        <v>44182</v>
      </c>
      <c r="L646" s="1">
        <v>44182</v>
      </c>
      <c r="M646">
        <v>645</v>
      </c>
      <c r="N646">
        <v>1</v>
      </c>
      <c r="O646" t="s">
        <v>30</v>
      </c>
      <c r="P646" s="3">
        <v>7.0000000000000007E-2</v>
      </c>
      <c r="Q646" s="2">
        <v>303.20640000000009</v>
      </c>
      <c r="R646">
        <v>1</v>
      </c>
      <c r="S646" t="str">
        <f t="shared" si="10"/>
        <v>Dezembro</v>
      </c>
    </row>
    <row r="647" spans="1:19" hidden="1" x14ac:dyDescent="0.3">
      <c r="A647">
        <v>646</v>
      </c>
      <c r="B647" s="1">
        <v>44180</v>
      </c>
      <c r="C647">
        <v>46</v>
      </c>
      <c r="D647" t="s">
        <v>81</v>
      </c>
      <c r="E647" t="s">
        <v>96</v>
      </c>
      <c r="F647">
        <v>35</v>
      </c>
      <c r="G647" s="2">
        <v>93</v>
      </c>
      <c r="H647" s="2">
        <v>3255</v>
      </c>
      <c r="I647" s="1">
        <v>0.15</v>
      </c>
      <c r="J647" s="2">
        <v>2766.75</v>
      </c>
      <c r="K647" s="1">
        <v>44181</v>
      </c>
      <c r="M647">
        <v>646</v>
      </c>
      <c r="N647">
        <v>4</v>
      </c>
      <c r="O647" t="s">
        <v>42</v>
      </c>
      <c r="P647" s="3">
        <v>0.06</v>
      </c>
      <c r="Q647" s="2">
        <v>166.005</v>
      </c>
      <c r="R647">
        <v>2</v>
      </c>
      <c r="S647" t="str">
        <f t="shared" si="10"/>
        <v>Dezembro</v>
      </c>
    </row>
    <row r="648" spans="1:19" hidden="1" x14ac:dyDescent="0.3">
      <c r="A648">
        <v>647</v>
      </c>
      <c r="B648" s="1">
        <v>44181</v>
      </c>
      <c r="C648">
        <v>15</v>
      </c>
      <c r="D648" t="s">
        <v>64</v>
      </c>
      <c r="E648" t="s">
        <v>96</v>
      </c>
      <c r="F648">
        <v>46</v>
      </c>
      <c r="G648" s="2">
        <v>96</v>
      </c>
      <c r="H648" s="2">
        <v>4416</v>
      </c>
      <c r="I648" s="1">
        <v>0.13</v>
      </c>
      <c r="J648" s="2">
        <v>3841.92</v>
      </c>
      <c r="K648" s="1">
        <v>44192</v>
      </c>
      <c r="L648" s="1">
        <v>44192</v>
      </c>
      <c r="M648">
        <v>647</v>
      </c>
      <c r="N648">
        <v>5</v>
      </c>
      <c r="O648" t="s">
        <v>56</v>
      </c>
      <c r="P648" s="3">
        <v>0.08</v>
      </c>
      <c r="Q648" s="2">
        <v>307.35360000000003</v>
      </c>
      <c r="R648">
        <v>3</v>
      </c>
      <c r="S648" t="str">
        <f t="shared" si="10"/>
        <v>Dezembro</v>
      </c>
    </row>
    <row r="649" spans="1:19" hidden="1" x14ac:dyDescent="0.3">
      <c r="A649">
        <v>648</v>
      </c>
      <c r="B649" s="1">
        <v>44182</v>
      </c>
      <c r="C649">
        <v>18</v>
      </c>
      <c r="D649" t="s">
        <v>70</v>
      </c>
      <c r="E649" t="s">
        <v>96</v>
      </c>
      <c r="F649">
        <v>42</v>
      </c>
      <c r="G649" s="2">
        <v>100</v>
      </c>
      <c r="H649" s="2">
        <v>4200</v>
      </c>
      <c r="I649" s="1">
        <v>0.14000000000000001</v>
      </c>
      <c r="J649" s="2">
        <v>3612</v>
      </c>
      <c r="K649" s="1">
        <v>44183</v>
      </c>
      <c r="L649" s="1">
        <v>44183</v>
      </c>
      <c r="M649">
        <v>648</v>
      </c>
      <c r="N649">
        <v>6</v>
      </c>
      <c r="O649" t="s">
        <v>38</v>
      </c>
      <c r="P649" s="3">
        <v>0.05</v>
      </c>
      <c r="Q649" s="2">
        <v>180.60000000000002</v>
      </c>
      <c r="R649">
        <v>4</v>
      </c>
      <c r="S649" t="str">
        <f t="shared" si="10"/>
        <v>Dezembro</v>
      </c>
    </row>
    <row r="650" spans="1:19" x14ac:dyDescent="0.3">
      <c r="A650">
        <v>649</v>
      </c>
      <c r="B650" s="1">
        <v>44182</v>
      </c>
      <c r="C650">
        <v>56</v>
      </c>
      <c r="D650" t="s">
        <v>54</v>
      </c>
      <c r="E650" t="s">
        <v>99</v>
      </c>
      <c r="F650">
        <v>22</v>
      </c>
      <c r="G650" s="2">
        <v>92</v>
      </c>
      <c r="H650" s="2">
        <v>2024</v>
      </c>
      <c r="I650" s="1">
        <v>0.02</v>
      </c>
      <c r="J650" s="2">
        <v>1983.52</v>
      </c>
      <c r="K650" s="1">
        <v>44196</v>
      </c>
      <c r="L650" s="1">
        <v>44196</v>
      </c>
      <c r="M650">
        <v>649</v>
      </c>
      <c r="N650">
        <v>5</v>
      </c>
      <c r="O650" t="s">
        <v>35</v>
      </c>
      <c r="P650" s="3">
        <v>0.1</v>
      </c>
      <c r="Q650" s="2">
        <v>198.352</v>
      </c>
      <c r="R650">
        <v>5</v>
      </c>
      <c r="S650" t="str">
        <f t="shared" si="10"/>
        <v>Dezembro</v>
      </c>
    </row>
    <row r="651" spans="1:19" hidden="1" x14ac:dyDescent="0.3">
      <c r="A651">
        <v>650</v>
      </c>
      <c r="B651" s="1">
        <v>44182</v>
      </c>
      <c r="C651">
        <v>52</v>
      </c>
      <c r="D651" t="s">
        <v>19</v>
      </c>
      <c r="E651" t="s">
        <v>99</v>
      </c>
      <c r="F651">
        <v>21</v>
      </c>
      <c r="G651" s="2">
        <v>119</v>
      </c>
      <c r="H651" s="2">
        <v>2499</v>
      </c>
      <c r="I651" s="1">
        <v>0.13</v>
      </c>
      <c r="J651" s="2">
        <v>2174.13</v>
      </c>
      <c r="K651" s="1">
        <v>44199</v>
      </c>
      <c r="L651" s="1">
        <v>44199</v>
      </c>
      <c r="M651">
        <v>650</v>
      </c>
      <c r="N651">
        <v>4</v>
      </c>
      <c r="O651" t="s">
        <v>27</v>
      </c>
      <c r="P651" s="3">
        <v>0.05</v>
      </c>
      <c r="Q651" s="2">
        <v>108.70650000000001</v>
      </c>
      <c r="R651">
        <v>6</v>
      </c>
      <c r="S651" t="str">
        <f t="shared" si="10"/>
        <v>Dezembro</v>
      </c>
    </row>
    <row r="652" spans="1:19" hidden="1" x14ac:dyDescent="0.3">
      <c r="A652">
        <v>651</v>
      </c>
      <c r="B652" s="1">
        <v>44182</v>
      </c>
      <c r="C652">
        <v>6</v>
      </c>
      <c r="D652" t="s">
        <v>75</v>
      </c>
      <c r="E652" t="s">
        <v>97</v>
      </c>
      <c r="F652">
        <v>29</v>
      </c>
      <c r="G652" s="2">
        <v>97</v>
      </c>
      <c r="H652" s="2">
        <v>2813</v>
      </c>
      <c r="I652" s="1">
        <v>0.09</v>
      </c>
      <c r="J652" s="2">
        <v>2559.83</v>
      </c>
      <c r="K652" s="1">
        <v>44206</v>
      </c>
      <c r="L652" s="1">
        <v>44206</v>
      </c>
      <c r="M652">
        <v>651</v>
      </c>
      <c r="N652">
        <v>7</v>
      </c>
      <c r="O652" t="s">
        <v>42</v>
      </c>
      <c r="P652" s="3">
        <v>7.0000000000000007E-2</v>
      </c>
      <c r="Q652" s="2">
        <v>179.18810000000002</v>
      </c>
      <c r="R652">
        <v>7</v>
      </c>
      <c r="S652" t="str">
        <f t="shared" si="10"/>
        <v>Dezembro</v>
      </c>
    </row>
    <row r="653" spans="1:19" hidden="1" x14ac:dyDescent="0.3">
      <c r="A653">
        <v>652</v>
      </c>
      <c r="B653" s="1">
        <v>44184</v>
      </c>
      <c r="C653">
        <v>49</v>
      </c>
      <c r="D653" t="s">
        <v>31</v>
      </c>
      <c r="E653" t="s">
        <v>99</v>
      </c>
      <c r="F653">
        <v>45</v>
      </c>
      <c r="G653" s="2">
        <v>103</v>
      </c>
      <c r="H653" s="2">
        <v>4635</v>
      </c>
      <c r="I653" s="1">
        <v>0.02</v>
      </c>
      <c r="J653" s="2">
        <v>4542.3</v>
      </c>
      <c r="K653" s="1">
        <v>44207</v>
      </c>
      <c r="L653" s="1">
        <v>44207</v>
      </c>
      <c r="M653">
        <v>652</v>
      </c>
      <c r="N653">
        <v>7</v>
      </c>
      <c r="O653" t="s">
        <v>18</v>
      </c>
      <c r="P653" s="3">
        <v>0.09</v>
      </c>
      <c r="Q653" s="2">
        <v>408.80700000000002</v>
      </c>
      <c r="R653">
        <v>1</v>
      </c>
      <c r="S653" t="str">
        <f t="shared" si="10"/>
        <v>Dezembro</v>
      </c>
    </row>
    <row r="654" spans="1:19" hidden="1" x14ac:dyDescent="0.3">
      <c r="A654">
        <v>653</v>
      </c>
      <c r="B654" s="1">
        <v>44185</v>
      </c>
      <c r="C654">
        <v>99</v>
      </c>
      <c r="D654" t="s">
        <v>71</v>
      </c>
      <c r="E654" t="s">
        <v>100</v>
      </c>
      <c r="F654">
        <v>27</v>
      </c>
      <c r="G654" s="2">
        <v>91</v>
      </c>
      <c r="H654" s="2">
        <v>2457</v>
      </c>
      <c r="I654" s="1">
        <v>0.08</v>
      </c>
      <c r="J654" s="2">
        <v>2260.44</v>
      </c>
      <c r="K654" s="1">
        <v>44193</v>
      </c>
      <c r="L654" s="1">
        <v>44193</v>
      </c>
      <c r="M654">
        <v>653</v>
      </c>
      <c r="N654">
        <v>7</v>
      </c>
      <c r="O654" t="s">
        <v>18</v>
      </c>
      <c r="P654" s="3">
        <v>0.05</v>
      </c>
      <c r="Q654" s="2">
        <v>113.02200000000001</v>
      </c>
      <c r="R654">
        <v>2</v>
      </c>
      <c r="S654" t="str">
        <f t="shared" si="10"/>
        <v>Dezembro</v>
      </c>
    </row>
    <row r="655" spans="1:19" hidden="1" x14ac:dyDescent="0.3">
      <c r="A655">
        <v>654</v>
      </c>
      <c r="B655" s="1">
        <v>44186</v>
      </c>
      <c r="C655">
        <v>71</v>
      </c>
      <c r="D655" t="s">
        <v>17</v>
      </c>
      <c r="E655" t="s">
        <v>103</v>
      </c>
      <c r="F655">
        <v>30</v>
      </c>
      <c r="G655" s="2">
        <v>108</v>
      </c>
      <c r="H655" s="2">
        <v>3240</v>
      </c>
      <c r="I655" s="1">
        <v>0.13</v>
      </c>
      <c r="J655" s="2">
        <v>2818.8</v>
      </c>
      <c r="K655" s="1">
        <v>44197</v>
      </c>
      <c r="L655" s="1">
        <v>44197</v>
      </c>
      <c r="M655">
        <v>654</v>
      </c>
      <c r="N655">
        <v>2</v>
      </c>
      <c r="O655" t="s">
        <v>23</v>
      </c>
      <c r="P655" s="3">
        <v>7.0000000000000007E-2</v>
      </c>
      <c r="Q655" s="2">
        <v>197.31600000000003</v>
      </c>
      <c r="R655">
        <v>3</v>
      </c>
      <c r="S655" t="str">
        <f t="shared" si="10"/>
        <v>Dezembro</v>
      </c>
    </row>
    <row r="656" spans="1:19" hidden="1" x14ac:dyDescent="0.3">
      <c r="A656">
        <v>655</v>
      </c>
      <c r="B656" s="1">
        <v>44186</v>
      </c>
      <c r="C656">
        <v>73</v>
      </c>
      <c r="D656" t="s">
        <v>31</v>
      </c>
      <c r="E656" t="s">
        <v>103</v>
      </c>
      <c r="F656">
        <v>40</v>
      </c>
      <c r="G656" s="2">
        <v>92</v>
      </c>
      <c r="H656" s="2">
        <v>3680</v>
      </c>
      <c r="I656" s="1">
        <v>0.02</v>
      </c>
      <c r="J656" s="2">
        <v>3606.4</v>
      </c>
      <c r="K656" s="1">
        <v>44196</v>
      </c>
      <c r="L656" s="1">
        <v>44196</v>
      </c>
      <c r="M656">
        <v>655</v>
      </c>
      <c r="N656">
        <v>7</v>
      </c>
      <c r="O656" t="s">
        <v>30</v>
      </c>
      <c r="P656" s="3">
        <v>0.05</v>
      </c>
      <c r="Q656" s="2">
        <v>180.32000000000002</v>
      </c>
      <c r="R656">
        <v>4</v>
      </c>
      <c r="S656" t="str">
        <f t="shared" si="10"/>
        <v>Dezembro</v>
      </c>
    </row>
    <row r="657" spans="1:19" hidden="1" x14ac:dyDescent="0.3">
      <c r="A657">
        <v>656</v>
      </c>
      <c r="B657" s="1">
        <v>44186</v>
      </c>
      <c r="C657">
        <v>6</v>
      </c>
      <c r="D657" t="s">
        <v>75</v>
      </c>
      <c r="E657" t="s">
        <v>98</v>
      </c>
      <c r="F657">
        <v>37</v>
      </c>
      <c r="G657" s="2">
        <v>92</v>
      </c>
      <c r="H657" s="2">
        <v>3404</v>
      </c>
      <c r="I657" s="1">
        <v>0.04</v>
      </c>
      <c r="J657" s="2">
        <v>3267.84</v>
      </c>
      <c r="K657" s="1">
        <v>44205</v>
      </c>
      <c r="L657" s="1">
        <v>44205</v>
      </c>
      <c r="M657">
        <v>656</v>
      </c>
      <c r="N657">
        <v>6</v>
      </c>
      <c r="O657" t="s">
        <v>42</v>
      </c>
      <c r="P657" s="3">
        <v>0.08</v>
      </c>
      <c r="Q657" s="2">
        <v>261.42720000000003</v>
      </c>
      <c r="R657">
        <v>5</v>
      </c>
      <c r="S657" t="str">
        <f t="shared" si="10"/>
        <v>Dezembro</v>
      </c>
    </row>
    <row r="658" spans="1:19" hidden="1" x14ac:dyDescent="0.3">
      <c r="A658">
        <v>657</v>
      </c>
      <c r="B658" s="1">
        <v>44186</v>
      </c>
      <c r="C658">
        <v>13</v>
      </c>
      <c r="D658" t="s">
        <v>62</v>
      </c>
      <c r="E658" t="s">
        <v>102</v>
      </c>
      <c r="F658">
        <v>40</v>
      </c>
      <c r="G658" s="2">
        <v>111</v>
      </c>
      <c r="H658" s="2">
        <v>4440</v>
      </c>
      <c r="I658" s="1">
        <v>0.02</v>
      </c>
      <c r="J658" s="2">
        <v>4351.2</v>
      </c>
      <c r="K658" s="1">
        <v>44189</v>
      </c>
      <c r="L658" s="1">
        <v>44189</v>
      </c>
      <c r="M658">
        <v>657</v>
      </c>
      <c r="N658">
        <v>7</v>
      </c>
      <c r="O658" t="s">
        <v>20</v>
      </c>
      <c r="P658" s="3">
        <v>0.08</v>
      </c>
      <c r="Q658" s="2">
        <v>348.096</v>
      </c>
      <c r="R658">
        <v>6</v>
      </c>
      <c r="S658" t="str">
        <f t="shared" si="10"/>
        <v>Dezembro</v>
      </c>
    </row>
    <row r="659" spans="1:19" hidden="1" x14ac:dyDescent="0.3">
      <c r="A659">
        <v>658</v>
      </c>
      <c r="B659" s="1">
        <v>44187</v>
      </c>
      <c r="C659">
        <v>72</v>
      </c>
      <c r="D659" t="s">
        <v>31</v>
      </c>
      <c r="E659" t="s">
        <v>104</v>
      </c>
      <c r="F659">
        <v>31</v>
      </c>
      <c r="G659" s="2">
        <v>104</v>
      </c>
      <c r="H659" s="2">
        <v>3224</v>
      </c>
      <c r="I659" s="1">
        <v>0.11</v>
      </c>
      <c r="J659" s="2">
        <v>2869.36</v>
      </c>
      <c r="K659" s="1">
        <v>44196</v>
      </c>
      <c r="L659" s="1">
        <v>44196</v>
      </c>
      <c r="M659">
        <v>658</v>
      </c>
      <c r="N659">
        <v>5</v>
      </c>
      <c r="O659" t="s">
        <v>18</v>
      </c>
      <c r="P659" s="3">
        <v>0.06</v>
      </c>
      <c r="Q659" s="2">
        <v>172.16159999999999</v>
      </c>
      <c r="R659">
        <v>7</v>
      </c>
      <c r="S659" t="str">
        <f t="shared" si="10"/>
        <v>Dezembro</v>
      </c>
    </row>
    <row r="660" spans="1:19" hidden="1" x14ac:dyDescent="0.3">
      <c r="A660">
        <v>659</v>
      </c>
      <c r="B660" s="1">
        <v>44187</v>
      </c>
      <c r="C660">
        <v>9</v>
      </c>
      <c r="D660" t="s">
        <v>29</v>
      </c>
      <c r="E660" t="s">
        <v>98</v>
      </c>
      <c r="F660">
        <v>36</v>
      </c>
      <c r="G660" s="2">
        <v>98</v>
      </c>
      <c r="H660" s="2">
        <v>3528</v>
      </c>
      <c r="I660" s="1">
        <v>0.14000000000000001</v>
      </c>
      <c r="J660" s="2">
        <v>3034.08</v>
      </c>
      <c r="K660" s="1">
        <v>44209</v>
      </c>
      <c r="L660" s="1">
        <v>44209</v>
      </c>
      <c r="M660">
        <v>659</v>
      </c>
      <c r="N660">
        <v>4</v>
      </c>
      <c r="O660" t="s">
        <v>42</v>
      </c>
      <c r="P660" s="3">
        <v>0.1</v>
      </c>
      <c r="Q660" s="2">
        <v>303.40800000000002</v>
      </c>
      <c r="R660">
        <v>1</v>
      </c>
      <c r="S660" t="str">
        <f t="shared" si="10"/>
        <v>Dezembro</v>
      </c>
    </row>
    <row r="661" spans="1:19" hidden="1" x14ac:dyDescent="0.3">
      <c r="A661">
        <v>660</v>
      </c>
      <c r="B661" s="1">
        <v>44190</v>
      </c>
      <c r="C661">
        <v>57</v>
      </c>
      <c r="D661" t="s">
        <v>76</v>
      </c>
      <c r="E661" t="s">
        <v>96</v>
      </c>
      <c r="F661">
        <v>25</v>
      </c>
      <c r="G661" s="2">
        <v>106</v>
      </c>
      <c r="H661" s="2">
        <v>2650</v>
      </c>
      <c r="I661" s="1">
        <v>0.06</v>
      </c>
      <c r="J661" s="2">
        <v>2491</v>
      </c>
      <c r="K661" s="1">
        <v>44192</v>
      </c>
      <c r="L661" s="1">
        <v>44192</v>
      </c>
      <c r="M661">
        <v>660</v>
      </c>
      <c r="N661">
        <v>7</v>
      </c>
      <c r="O661" t="s">
        <v>27</v>
      </c>
      <c r="P661" s="3">
        <v>0.09</v>
      </c>
      <c r="Q661" s="2">
        <v>224.19</v>
      </c>
      <c r="R661">
        <v>2</v>
      </c>
      <c r="S661" t="str">
        <f t="shared" si="10"/>
        <v>Dezembro</v>
      </c>
    </row>
    <row r="662" spans="1:19" hidden="1" x14ac:dyDescent="0.3">
      <c r="A662">
        <v>661</v>
      </c>
      <c r="B662" s="1">
        <v>44190</v>
      </c>
      <c r="C662">
        <v>6</v>
      </c>
      <c r="D662" t="s">
        <v>75</v>
      </c>
      <c r="E662" t="s">
        <v>97</v>
      </c>
      <c r="F662">
        <v>15</v>
      </c>
      <c r="G662" s="2">
        <v>118</v>
      </c>
      <c r="H662" s="2">
        <v>1770</v>
      </c>
      <c r="I662" s="1">
        <v>0.15</v>
      </c>
      <c r="J662" s="2">
        <v>1504.5</v>
      </c>
      <c r="K662" s="1">
        <v>44214</v>
      </c>
      <c r="L662" s="1">
        <v>44214</v>
      </c>
      <c r="M662">
        <v>661</v>
      </c>
      <c r="N662">
        <v>5</v>
      </c>
      <c r="O662" t="s">
        <v>56</v>
      </c>
      <c r="P662" s="3">
        <v>0.05</v>
      </c>
      <c r="Q662" s="2">
        <v>75.225000000000009</v>
      </c>
      <c r="R662">
        <v>3</v>
      </c>
      <c r="S662" t="str">
        <f t="shared" si="10"/>
        <v>Dezembro</v>
      </c>
    </row>
    <row r="663" spans="1:19" hidden="1" x14ac:dyDescent="0.3">
      <c r="A663">
        <v>662</v>
      </c>
      <c r="B663" s="1">
        <v>44191</v>
      </c>
      <c r="C663">
        <v>48</v>
      </c>
      <c r="D663" t="s">
        <v>48</v>
      </c>
      <c r="E663" t="s">
        <v>98</v>
      </c>
      <c r="F663">
        <v>32</v>
      </c>
      <c r="G663" s="2">
        <v>93</v>
      </c>
      <c r="H663" s="2">
        <v>2976</v>
      </c>
      <c r="I663" s="1">
        <v>0.11</v>
      </c>
      <c r="J663" s="2">
        <v>2648.64</v>
      </c>
      <c r="K663" s="1">
        <v>44208</v>
      </c>
      <c r="L663" s="1">
        <v>44208</v>
      </c>
      <c r="M663">
        <v>662</v>
      </c>
      <c r="N663">
        <v>4</v>
      </c>
      <c r="O663" t="s">
        <v>18</v>
      </c>
      <c r="P663" s="3">
        <v>0.1</v>
      </c>
      <c r="Q663" s="2">
        <v>264.86399999999998</v>
      </c>
      <c r="R663">
        <v>4</v>
      </c>
      <c r="S663" t="str">
        <f t="shared" si="10"/>
        <v>Dezembro</v>
      </c>
    </row>
    <row r="664" spans="1:19" hidden="1" x14ac:dyDescent="0.3">
      <c r="A664">
        <v>663</v>
      </c>
      <c r="B664" s="1">
        <v>44191</v>
      </c>
      <c r="C664">
        <v>38</v>
      </c>
      <c r="D664" t="s">
        <v>60</v>
      </c>
      <c r="E664" t="s">
        <v>101</v>
      </c>
      <c r="F664">
        <v>28</v>
      </c>
      <c r="G664" s="2">
        <v>90</v>
      </c>
      <c r="H664" s="2">
        <v>2520</v>
      </c>
      <c r="I664" s="1">
        <v>0.06</v>
      </c>
      <c r="J664" s="2">
        <v>2368.8000000000002</v>
      </c>
      <c r="K664" s="1">
        <v>44195</v>
      </c>
      <c r="L664" s="1">
        <v>44195</v>
      </c>
      <c r="M664">
        <v>663</v>
      </c>
      <c r="N664">
        <v>7</v>
      </c>
      <c r="O664" t="s">
        <v>38</v>
      </c>
      <c r="P664" s="3">
        <v>0.06</v>
      </c>
      <c r="Q664" s="2">
        <v>142.12800000000001</v>
      </c>
      <c r="R664">
        <v>5</v>
      </c>
      <c r="S664" t="str">
        <f t="shared" si="10"/>
        <v>Dezembro</v>
      </c>
    </row>
    <row r="665" spans="1:19" hidden="1" x14ac:dyDescent="0.3">
      <c r="A665">
        <v>664</v>
      </c>
      <c r="B665" s="1">
        <v>44191</v>
      </c>
      <c r="C665">
        <v>93</v>
      </c>
      <c r="D665" t="s">
        <v>26</v>
      </c>
      <c r="E665" t="s">
        <v>104</v>
      </c>
      <c r="F665">
        <v>29</v>
      </c>
      <c r="G665" s="2">
        <v>92</v>
      </c>
      <c r="H665" s="2">
        <v>2668</v>
      </c>
      <c r="I665" s="1">
        <v>0.13</v>
      </c>
      <c r="J665" s="2">
        <v>2321.16</v>
      </c>
      <c r="K665" s="1">
        <v>44218</v>
      </c>
      <c r="M665">
        <v>664</v>
      </c>
      <c r="N665">
        <v>3</v>
      </c>
      <c r="O665" t="s">
        <v>56</v>
      </c>
      <c r="P665" s="3">
        <v>0.08</v>
      </c>
      <c r="Q665" s="2">
        <v>185.69280000000001</v>
      </c>
      <c r="R665">
        <v>6</v>
      </c>
      <c r="S665" t="str">
        <f t="shared" si="10"/>
        <v>Dezembro</v>
      </c>
    </row>
    <row r="666" spans="1:19" hidden="1" x14ac:dyDescent="0.3">
      <c r="A666">
        <v>665</v>
      </c>
      <c r="B666" s="1">
        <v>44192</v>
      </c>
      <c r="C666">
        <v>58</v>
      </c>
      <c r="D666" t="s">
        <v>59</v>
      </c>
      <c r="E666" t="s">
        <v>97</v>
      </c>
      <c r="F666">
        <v>11</v>
      </c>
      <c r="G666" s="2">
        <v>117</v>
      </c>
      <c r="H666" s="2">
        <v>1287</v>
      </c>
      <c r="I666" s="1">
        <v>0.14000000000000001</v>
      </c>
      <c r="J666" s="2">
        <v>1106.82</v>
      </c>
      <c r="K666" s="1">
        <v>44192</v>
      </c>
      <c r="L666" s="1">
        <v>44192</v>
      </c>
      <c r="M666">
        <v>665</v>
      </c>
      <c r="N666">
        <v>1</v>
      </c>
      <c r="O666" t="s">
        <v>20</v>
      </c>
      <c r="P666" s="3">
        <v>0.09</v>
      </c>
      <c r="Q666" s="2">
        <v>99.613799999999998</v>
      </c>
      <c r="R666">
        <v>7</v>
      </c>
      <c r="S666" t="str">
        <f t="shared" si="10"/>
        <v>Dezembro</v>
      </c>
    </row>
    <row r="667" spans="1:19" hidden="1" x14ac:dyDescent="0.3">
      <c r="A667">
        <v>666</v>
      </c>
      <c r="B667" s="1">
        <v>44193</v>
      </c>
      <c r="C667">
        <v>76</v>
      </c>
      <c r="D667" t="s">
        <v>91</v>
      </c>
      <c r="E667" t="s">
        <v>101</v>
      </c>
      <c r="F667">
        <v>13</v>
      </c>
      <c r="G667" s="2">
        <v>93</v>
      </c>
      <c r="H667" s="2">
        <v>1209</v>
      </c>
      <c r="I667" s="1">
        <v>0</v>
      </c>
      <c r="J667" s="2">
        <v>1209</v>
      </c>
      <c r="K667" s="1">
        <v>44210</v>
      </c>
      <c r="L667" s="1">
        <v>44210</v>
      </c>
      <c r="M667">
        <v>666</v>
      </c>
      <c r="N667">
        <v>7</v>
      </c>
      <c r="O667" t="s">
        <v>38</v>
      </c>
      <c r="P667" s="3">
        <v>0.1</v>
      </c>
      <c r="Q667" s="2">
        <v>120.9</v>
      </c>
      <c r="R667">
        <v>1</v>
      </c>
      <c r="S667" t="str">
        <f t="shared" si="10"/>
        <v>Dezembro</v>
      </c>
    </row>
    <row r="668" spans="1:19" hidden="1" x14ac:dyDescent="0.3">
      <c r="A668">
        <v>667</v>
      </c>
      <c r="B668" s="1">
        <v>44193</v>
      </c>
      <c r="C668">
        <v>66</v>
      </c>
      <c r="D668" t="s">
        <v>24</v>
      </c>
      <c r="E668" t="s">
        <v>100</v>
      </c>
      <c r="F668">
        <v>17</v>
      </c>
      <c r="G668" s="2">
        <v>118</v>
      </c>
      <c r="H668" s="2">
        <v>2006</v>
      </c>
      <c r="I668" s="1">
        <v>0.06</v>
      </c>
      <c r="J668" s="2">
        <v>1885.64</v>
      </c>
      <c r="K668" s="1">
        <v>44198</v>
      </c>
      <c r="L668" s="1">
        <v>44198</v>
      </c>
      <c r="M668">
        <v>667</v>
      </c>
      <c r="N668">
        <v>7</v>
      </c>
      <c r="O668" t="s">
        <v>20</v>
      </c>
      <c r="P668" s="3">
        <v>0.06</v>
      </c>
      <c r="Q668" s="2">
        <v>113.1384</v>
      </c>
      <c r="R668">
        <v>2</v>
      </c>
      <c r="S668" t="str">
        <f t="shared" si="10"/>
        <v>Dezembro</v>
      </c>
    </row>
    <row r="669" spans="1:19" hidden="1" x14ac:dyDescent="0.3">
      <c r="A669">
        <v>668</v>
      </c>
      <c r="B669" s="1">
        <v>44194</v>
      </c>
      <c r="C669">
        <v>18</v>
      </c>
      <c r="D669" t="s">
        <v>70</v>
      </c>
      <c r="E669" t="s">
        <v>96</v>
      </c>
      <c r="F669">
        <v>10</v>
      </c>
      <c r="G669" s="2">
        <v>112</v>
      </c>
      <c r="H669" s="2">
        <v>1120</v>
      </c>
      <c r="I669" s="1">
        <v>0.06</v>
      </c>
      <c r="J669" s="2">
        <v>1052.8</v>
      </c>
      <c r="K669" s="1">
        <v>44194</v>
      </c>
      <c r="L669" s="1">
        <v>44194</v>
      </c>
      <c r="M669">
        <v>668</v>
      </c>
      <c r="N669">
        <v>7</v>
      </c>
      <c r="O669" t="s">
        <v>18</v>
      </c>
      <c r="P669" s="3">
        <v>0.08</v>
      </c>
      <c r="Q669" s="2">
        <v>84.224000000000004</v>
      </c>
      <c r="R669">
        <v>3</v>
      </c>
      <c r="S669" t="str">
        <f t="shared" si="10"/>
        <v>Dezembro</v>
      </c>
    </row>
    <row r="670" spans="1:19" hidden="1" x14ac:dyDescent="0.3">
      <c r="A670">
        <v>669</v>
      </c>
      <c r="B670" s="1">
        <v>44195</v>
      </c>
      <c r="C670">
        <v>11</v>
      </c>
      <c r="D670" t="s">
        <v>47</v>
      </c>
      <c r="E670" t="s">
        <v>103</v>
      </c>
      <c r="F670">
        <v>31</v>
      </c>
      <c r="G670" s="2">
        <v>115</v>
      </c>
      <c r="H670" s="2">
        <v>3565</v>
      </c>
      <c r="I670" s="1">
        <v>0.04</v>
      </c>
      <c r="J670" s="2">
        <v>3422.4</v>
      </c>
      <c r="K670" s="1">
        <v>44200</v>
      </c>
      <c r="L670" s="1">
        <v>44200</v>
      </c>
      <c r="M670">
        <v>669</v>
      </c>
      <c r="N670">
        <v>3</v>
      </c>
      <c r="O670" t="s">
        <v>27</v>
      </c>
      <c r="P670" s="3">
        <v>0.09</v>
      </c>
      <c r="Q670" s="2">
        <v>308.01600000000002</v>
      </c>
      <c r="R670">
        <v>4</v>
      </c>
      <c r="S670" t="str">
        <f t="shared" si="10"/>
        <v>Dezembro</v>
      </c>
    </row>
    <row r="671" spans="1:19" hidden="1" x14ac:dyDescent="0.3">
      <c r="A671">
        <v>670</v>
      </c>
      <c r="B671" s="1">
        <v>44195</v>
      </c>
      <c r="C671">
        <v>22</v>
      </c>
      <c r="D671" t="s">
        <v>41</v>
      </c>
      <c r="E671" t="s">
        <v>95</v>
      </c>
      <c r="F671">
        <v>37</v>
      </c>
      <c r="G671" s="2">
        <v>110</v>
      </c>
      <c r="H671" s="2">
        <v>4070</v>
      </c>
      <c r="I671" s="1">
        <v>0.05</v>
      </c>
      <c r="J671" s="2">
        <v>3866.5</v>
      </c>
      <c r="K671" s="1">
        <v>44210</v>
      </c>
      <c r="M671">
        <v>670</v>
      </c>
      <c r="N671">
        <v>6</v>
      </c>
      <c r="O671" t="s">
        <v>30</v>
      </c>
      <c r="P671" s="3">
        <v>0.06</v>
      </c>
      <c r="Q671" s="2">
        <v>231.98999999999998</v>
      </c>
      <c r="R671">
        <v>5</v>
      </c>
      <c r="S671" t="str">
        <f t="shared" si="10"/>
        <v>Dezembro</v>
      </c>
    </row>
    <row r="672" spans="1:19" hidden="1" x14ac:dyDescent="0.3">
      <c r="A672">
        <v>671</v>
      </c>
      <c r="B672" s="1">
        <v>44195</v>
      </c>
      <c r="C672">
        <v>79</v>
      </c>
      <c r="D672" t="s">
        <v>26</v>
      </c>
      <c r="E672" t="s">
        <v>102</v>
      </c>
      <c r="F672">
        <v>21</v>
      </c>
      <c r="G672" s="2">
        <v>103</v>
      </c>
      <c r="H672" s="2">
        <v>2163</v>
      </c>
      <c r="I672" s="1">
        <v>0.09</v>
      </c>
      <c r="J672" s="2">
        <v>1968.33</v>
      </c>
      <c r="K672" s="1">
        <v>44221</v>
      </c>
      <c r="L672" s="1">
        <v>44221</v>
      </c>
      <c r="M672">
        <v>671</v>
      </c>
      <c r="N672">
        <v>5</v>
      </c>
      <c r="O672" t="s">
        <v>42</v>
      </c>
      <c r="P672" s="3">
        <v>7.0000000000000007E-2</v>
      </c>
      <c r="Q672" s="2">
        <v>137.78310000000002</v>
      </c>
      <c r="R672">
        <v>6</v>
      </c>
      <c r="S672" t="str">
        <f t="shared" si="10"/>
        <v>Dezembro</v>
      </c>
    </row>
    <row r="673" spans="1:19" x14ac:dyDescent="0.3">
      <c r="A673">
        <v>672</v>
      </c>
      <c r="B673" s="1">
        <v>44196</v>
      </c>
      <c r="C673">
        <v>72</v>
      </c>
      <c r="D673" t="s">
        <v>31</v>
      </c>
      <c r="E673" t="s">
        <v>103</v>
      </c>
      <c r="F673">
        <v>44</v>
      </c>
      <c r="G673" s="2">
        <v>116</v>
      </c>
      <c r="H673" s="2">
        <v>5104</v>
      </c>
      <c r="I673" s="1">
        <v>0.11</v>
      </c>
      <c r="J673" s="2">
        <v>4542.5599999999995</v>
      </c>
      <c r="K673" s="1">
        <v>44211</v>
      </c>
      <c r="L673" s="1">
        <v>44211</v>
      </c>
      <c r="M673">
        <v>672</v>
      </c>
      <c r="N673">
        <v>6</v>
      </c>
      <c r="O673" t="s">
        <v>35</v>
      </c>
      <c r="P673" s="3">
        <v>0.05</v>
      </c>
      <c r="Q673" s="2">
        <v>227.12799999999999</v>
      </c>
      <c r="R673">
        <v>7</v>
      </c>
      <c r="S673" t="str">
        <f t="shared" si="10"/>
        <v>Dezembro</v>
      </c>
    </row>
    <row r="674" spans="1:19" hidden="1" x14ac:dyDescent="0.3">
      <c r="A674">
        <v>673</v>
      </c>
      <c r="B674" s="1">
        <v>44196</v>
      </c>
      <c r="C674">
        <v>86</v>
      </c>
      <c r="D674" t="s">
        <v>77</v>
      </c>
      <c r="E674" t="s">
        <v>99</v>
      </c>
      <c r="F674">
        <v>28</v>
      </c>
      <c r="G674" s="2">
        <v>110</v>
      </c>
      <c r="H674" s="2">
        <v>3080</v>
      </c>
      <c r="I674" s="1">
        <v>0.12</v>
      </c>
      <c r="J674" s="2">
        <v>2710.4</v>
      </c>
      <c r="K674" s="1">
        <v>44199</v>
      </c>
      <c r="L674" s="1">
        <v>44199</v>
      </c>
      <c r="M674">
        <v>673</v>
      </c>
      <c r="N674">
        <v>4</v>
      </c>
      <c r="O674" t="s">
        <v>18</v>
      </c>
      <c r="P674" s="3">
        <v>0.05</v>
      </c>
      <c r="Q674" s="2">
        <v>135.52000000000001</v>
      </c>
      <c r="R674">
        <v>1</v>
      </c>
      <c r="S674" t="str">
        <f t="shared" si="10"/>
        <v>Dezembro</v>
      </c>
    </row>
    <row r="675" spans="1:19" hidden="1" x14ac:dyDescent="0.3">
      <c r="A675">
        <v>674</v>
      </c>
      <c r="B675" s="1">
        <v>44199</v>
      </c>
      <c r="C675">
        <v>13</v>
      </c>
      <c r="D675" t="s">
        <v>62</v>
      </c>
      <c r="E675" t="s">
        <v>98</v>
      </c>
      <c r="F675">
        <v>19</v>
      </c>
      <c r="G675" s="2">
        <v>115</v>
      </c>
      <c r="H675" s="2">
        <v>2185</v>
      </c>
      <c r="I675" s="1">
        <v>0.06</v>
      </c>
      <c r="J675" s="2">
        <v>2053.9</v>
      </c>
      <c r="K675" s="1">
        <v>44210</v>
      </c>
      <c r="L675" s="1">
        <v>44210</v>
      </c>
      <c r="M675">
        <v>674</v>
      </c>
      <c r="N675">
        <v>3</v>
      </c>
      <c r="O675" t="s">
        <v>42</v>
      </c>
      <c r="P675" s="3">
        <v>0.05</v>
      </c>
      <c r="Q675" s="2">
        <v>102.69500000000001</v>
      </c>
      <c r="R675">
        <v>2</v>
      </c>
      <c r="S675" t="str">
        <f t="shared" si="10"/>
        <v>Janeiro</v>
      </c>
    </row>
    <row r="676" spans="1:19" hidden="1" x14ac:dyDescent="0.3">
      <c r="A676">
        <v>675</v>
      </c>
      <c r="B676" s="1">
        <v>44199</v>
      </c>
      <c r="C676">
        <v>64</v>
      </c>
      <c r="D676" t="s">
        <v>65</v>
      </c>
      <c r="E676" t="s">
        <v>98</v>
      </c>
      <c r="F676">
        <v>27</v>
      </c>
      <c r="G676" s="2">
        <v>99</v>
      </c>
      <c r="H676" s="2">
        <v>2673</v>
      </c>
      <c r="I676" s="1">
        <v>0.08</v>
      </c>
      <c r="J676" s="2">
        <v>2459.16</v>
      </c>
      <c r="K676" s="1">
        <v>44208</v>
      </c>
      <c r="L676" s="1">
        <v>44208</v>
      </c>
      <c r="M676">
        <v>675</v>
      </c>
      <c r="N676">
        <v>6</v>
      </c>
      <c r="O676" t="s">
        <v>56</v>
      </c>
      <c r="P676" s="3">
        <v>0.09</v>
      </c>
      <c r="Q676" s="2">
        <v>221.32439999999997</v>
      </c>
      <c r="R676">
        <v>3</v>
      </c>
      <c r="S676" t="str">
        <f t="shared" si="10"/>
        <v>Janeiro</v>
      </c>
    </row>
    <row r="677" spans="1:19" hidden="1" x14ac:dyDescent="0.3">
      <c r="A677">
        <v>676</v>
      </c>
      <c r="B677" s="1">
        <v>44199</v>
      </c>
      <c r="C677">
        <v>20</v>
      </c>
      <c r="D677" t="s">
        <v>32</v>
      </c>
      <c r="E677" t="s">
        <v>101</v>
      </c>
      <c r="F677">
        <v>47</v>
      </c>
      <c r="G677" s="2">
        <v>94</v>
      </c>
      <c r="H677" s="2">
        <v>4418</v>
      </c>
      <c r="I677" s="1">
        <v>0.08</v>
      </c>
      <c r="J677" s="2">
        <v>4064.56</v>
      </c>
      <c r="K677" s="1">
        <v>44215</v>
      </c>
      <c r="L677" s="1">
        <v>44215</v>
      </c>
      <c r="M677">
        <v>676</v>
      </c>
      <c r="N677">
        <v>7</v>
      </c>
      <c r="O677" t="s">
        <v>56</v>
      </c>
      <c r="P677" s="3">
        <v>0.1</v>
      </c>
      <c r="Q677" s="2">
        <v>406.45600000000002</v>
      </c>
      <c r="R677">
        <v>4</v>
      </c>
      <c r="S677" t="str">
        <f t="shared" si="10"/>
        <v>Janeiro</v>
      </c>
    </row>
    <row r="678" spans="1:19" hidden="1" x14ac:dyDescent="0.3">
      <c r="A678">
        <v>677</v>
      </c>
      <c r="B678" s="1">
        <v>44200</v>
      </c>
      <c r="C678">
        <v>47</v>
      </c>
      <c r="D678" t="s">
        <v>33</v>
      </c>
      <c r="E678" t="s">
        <v>95</v>
      </c>
      <c r="F678">
        <v>34</v>
      </c>
      <c r="G678" s="2">
        <v>108</v>
      </c>
      <c r="H678" s="2">
        <v>3672</v>
      </c>
      <c r="I678" s="1">
        <v>0.01</v>
      </c>
      <c r="J678" s="2">
        <v>3635.28</v>
      </c>
      <c r="K678" s="1">
        <v>44204</v>
      </c>
      <c r="L678" s="1">
        <v>44204</v>
      </c>
      <c r="M678">
        <v>677</v>
      </c>
      <c r="N678">
        <v>6</v>
      </c>
      <c r="O678" t="s">
        <v>42</v>
      </c>
      <c r="P678" s="3">
        <v>0.05</v>
      </c>
      <c r="Q678" s="2">
        <v>181.76400000000001</v>
      </c>
      <c r="R678">
        <v>5</v>
      </c>
      <c r="S678" t="str">
        <f t="shared" si="10"/>
        <v>Janeiro</v>
      </c>
    </row>
    <row r="679" spans="1:19" hidden="1" x14ac:dyDescent="0.3">
      <c r="A679">
        <v>678</v>
      </c>
      <c r="B679" s="1">
        <v>44201</v>
      </c>
      <c r="C679">
        <v>92</v>
      </c>
      <c r="D679" t="s">
        <v>21</v>
      </c>
      <c r="E679" t="s">
        <v>97</v>
      </c>
      <c r="F679">
        <v>30</v>
      </c>
      <c r="G679" s="2">
        <v>95</v>
      </c>
      <c r="H679" s="2">
        <v>2850</v>
      </c>
      <c r="I679" s="1">
        <v>0.03</v>
      </c>
      <c r="J679" s="2">
        <v>2764.5</v>
      </c>
      <c r="K679" s="1">
        <v>44217</v>
      </c>
      <c r="L679" s="1">
        <v>44217</v>
      </c>
      <c r="M679">
        <v>678</v>
      </c>
      <c r="N679">
        <v>7</v>
      </c>
      <c r="O679" t="s">
        <v>38</v>
      </c>
      <c r="P679" s="3">
        <v>0.08</v>
      </c>
      <c r="Q679" s="2">
        <v>221.16</v>
      </c>
      <c r="R679">
        <v>6</v>
      </c>
      <c r="S679" t="str">
        <f t="shared" si="10"/>
        <v>Janeiro</v>
      </c>
    </row>
    <row r="680" spans="1:19" hidden="1" x14ac:dyDescent="0.3">
      <c r="A680">
        <v>679</v>
      </c>
      <c r="B680" s="1">
        <v>44202</v>
      </c>
      <c r="C680">
        <v>70</v>
      </c>
      <c r="D680" t="s">
        <v>54</v>
      </c>
      <c r="E680" t="s">
        <v>97</v>
      </c>
      <c r="F680">
        <v>30</v>
      </c>
      <c r="G680" s="2">
        <v>91</v>
      </c>
      <c r="H680" s="2">
        <v>2730</v>
      </c>
      <c r="I680" s="1">
        <v>0.05</v>
      </c>
      <c r="J680" s="2">
        <v>2593.5</v>
      </c>
      <c r="K680" s="1">
        <v>44228</v>
      </c>
      <c r="L680" s="1">
        <v>44228</v>
      </c>
      <c r="M680">
        <v>679</v>
      </c>
      <c r="N680">
        <v>4</v>
      </c>
      <c r="O680" t="s">
        <v>25</v>
      </c>
      <c r="P680" s="3">
        <v>0.08</v>
      </c>
      <c r="Q680" s="2">
        <v>207.48000000000002</v>
      </c>
      <c r="R680">
        <v>7</v>
      </c>
      <c r="S680" t="str">
        <f t="shared" si="10"/>
        <v>Janeiro</v>
      </c>
    </row>
    <row r="681" spans="1:19" hidden="1" x14ac:dyDescent="0.3">
      <c r="A681">
        <v>680</v>
      </c>
      <c r="B681" s="1">
        <v>44202</v>
      </c>
      <c r="C681">
        <v>33</v>
      </c>
      <c r="D681" t="s">
        <v>63</v>
      </c>
      <c r="E681" t="s">
        <v>97</v>
      </c>
      <c r="F681">
        <v>29</v>
      </c>
      <c r="G681" s="2">
        <v>92</v>
      </c>
      <c r="H681" s="2">
        <v>2668</v>
      </c>
      <c r="I681" s="1">
        <v>0.14000000000000001</v>
      </c>
      <c r="J681" s="2">
        <v>2294.48</v>
      </c>
      <c r="K681" s="1">
        <v>44204</v>
      </c>
      <c r="L681" s="1">
        <v>44204</v>
      </c>
      <c r="M681">
        <v>680</v>
      </c>
      <c r="N681">
        <v>1</v>
      </c>
      <c r="O681" t="s">
        <v>20</v>
      </c>
      <c r="P681" s="3">
        <v>0.08</v>
      </c>
      <c r="Q681" s="2">
        <v>183.55840000000001</v>
      </c>
      <c r="R681">
        <v>1</v>
      </c>
      <c r="S681" t="str">
        <f t="shared" si="10"/>
        <v>Janeiro</v>
      </c>
    </row>
    <row r="682" spans="1:19" x14ac:dyDescent="0.3">
      <c r="A682">
        <v>681</v>
      </c>
      <c r="B682" s="1">
        <v>44202</v>
      </c>
      <c r="C682">
        <v>50</v>
      </c>
      <c r="D682" t="s">
        <v>68</v>
      </c>
      <c r="E682" t="s">
        <v>99</v>
      </c>
      <c r="F682">
        <v>19</v>
      </c>
      <c r="G682" s="2">
        <v>111</v>
      </c>
      <c r="H682" s="2">
        <v>2109</v>
      </c>
      <c r="I682" s="1">
        <v>0.08</v>
      </c>
      <c r="J682" s="2">
        <v>1940.28</v>
      </c>
      <c r="K682" s="1">
        <v>44205</v>
      </c>
      <c r="L682" s="1">
        <v>44205</v>
      </c>
      <c r="M682">
        <v>681</v>
      </c>
      <c r="N682">
        <v>7</v>
      </c>
      <c r="O682" t="s">
        <v>35</v>
      </c>
      <c r="P682" s="3">
        <v>0.08</v>
      </c>
      <c r="Q682" s="2">
        <v>155.22239999999999</v>
      </c>
      <c r="R682">
        <v>2</v>
      </c>
      <c r="S682" t="str">
        <f t="shared" si="10"/>
        <v>Janeiro</v>
      </c>
    </row>
    <row r="683" spans="1:19" hidden="1" x14ac:dyDescent="0.3">
      <c r="A683">
        <v>682</v>
      </c>
      <c r="B683" s="1">
        <v>44202</v>
      </c>
      <c r="C683">
        <v>57</v>
      </c>
      <c r="D683" t="s">
        <v>76</v>
      </c>
      <c r="E683" t="s">
        <v>100</v>
      </c>
      <c r="F683">
        <v>27</v>
      </c>
      <c r="G683" s="2">
        <v>111</v>
      </c>
      <c r="H683" s="2">
        <v>2997</v>
      </c>
      <c r="I683" s="1">
        <v>0.04</v>
      </c>
      <c r="J683" s="2">
        <v>2877.12</v>
      </c>
      <c r="K683" s="1">
        <v>44209</v>
      </c>
      <c r="L683" s="1">
        <v>44209</v>
      </c>
      <c r="M683">
        <v>682</v>
      </c>
      <c r="N683">
        <v>3</v>
      </c>
      <c r="O683" t="s">
        <v>30</v>
      </c>
      <c r="P683" s="3">
        <v>0.06</v>
      </c>
      <c r="Q683" s="2">
        <v>172.62719999999999</v>
      </c>
      <c r="R683">
        <v>3</v>
      </c>
      <c r="S683" t="str">
        <f t="shared" si="10"/>
        <v>Janeiro</v>
      </c>
    </row>
    <row r="684" spans="1:19" hidden="1" x14ac:dyDescent="0.3">
      <c r="A684">
        <v>683</v>
      </c>
      <c r="B684" s="1">
        <v>44202</v>
      </c>
      <c r="C684">
        <v>7</v>
      </c>
      <c r="D684" t="s">
        <v>89</v>
      </c>
      <c r="E684" t="s">
        <v>95</v>
      </c>
      <c r="F684">
        <v>43</v>
      </c>
      <c r="G684" s="2">
        <v>118</v>
      </c>
      <c r="H684" s="2">
        <v>5074</v>
      </c>
      <c r="I684" s="1">
        <v>0.15</v>
      </c>
      <c r="J684" s="2">
        <v>4312.8999999999996</v>
      </c>
      <c r="K684" s="1">
        <v>44205</v>
      </c>
      <c r="L684" s="1">
        <v>44205</v>
      </c>
      <c r="M684">
        <v>683</v>
      </c>
      <c r="N684">
        <v>7</v>
      </c>
      <c r="O684" t="s">
        <v>18</v>
      </c>
      <c r="P684" s="3">
        <v>0.09</v>
      </c>
      <c r="Q684" s="2">
        <v>388.16099999999994</v>
      </c>
      <c r="R684">
        <v>4</v>
      </c>
      <c r="S684" t="str">
        <f t="shared" si="10"/>
        <v>Janeiro</v>
      </c>
    </row>
    <row r="685" spans="1:19" hidden="1" x14ac:dyDescent="0.3">
      <c r="A685">
        <v>684</v>
      </c>
      <c r="B685" s="1">
        <v>44203</v>
      </c>
      <c r="C685">
        <v>62</v>
      </c>
      <c r="D685" t="s">
        <v>31</v>
      </c>
      <c r="E685" t="s">
        <v>95</v>
      </c>
      <c r="F685">
        <v>13</v>
      </c>
      <c r="G685" s="2">
        <v>101</v>
      </c>
      <c r="H685" s="2">
        <v>1313</v>
      </c>
      <c r="I685" s="1">
        <v>0.06</v>
      </c>
      <c r="J685" s="2">
        <v>1234.22</v>
      </c>
      <c r="K685" s="1">
        <v>44229</v>
      </c>
      <c r="L685" s="1">
        <v>44229</v>
      </c>
      <c r="M685">
        <v>684</v>
      </c>
      <c r="N685">
        <v>3</v>
      </c>
      <c r="O685" t="s">
        <v>23</v>
      </c>
      <c r="P685" s="3">
        <v>0.1</v>
      </c>
      <c r="Q685" s="2">
        <v>123.42200000000001</v>
      </c>
      <c r="R685">
        <v>5</v>
      </c>
      <c r="S685" t="str">
        <f t="shared" si="10"/>
        <v>Janeiro</v>
      </c>
    </row>
    <row r="686" spans="1:19" hidden="1" x14ac:dyDescent="0.3">
      <c r="A686">
        <v>685</v>
      </c>
      <c r="B686" s="1">
        <v>44203</v>
      </c>
      <c r="C686">
        <v>32</v>
      </c>
      <c r="D686" t="s">
        <v>64</v>
      </c>
      <c r="E686" t="s">
        <v>95</v>
      </c>
      <c r="F686">
        <v>32</v>
      </c>
      <c r="G686" s="2">
        <v>112</v>
      </c>
      <c r="H686" s="2">
        <v>3584</v>
      </c>
      <c r="I686" s="1">
        <v>0.09</v>
      </c>
      <c r="J686" s="2">
        <v>3261.44</v>
      </c>
      <c r="K686" s="1">
        <v>44205</v>
      </c>
      <c r="L686" s="1">
        <v>44205</v>
      </c>
      <c r="M686">
        <v>685</v>
      </c>
      <c r="N686">
        <v>2</v>
      </c>
      <c r="O686" t="s">
        <v>30</v>
      </c>
      <c r="P686" s="3">
        <v>0.06</v>
      </c>
      <c r="Q686" s="2">
        <v>195.68639999999999</v>
      </c>
      <c r="R686">
        <v>6</v>
      </c>
      <c r="S686" t="str">
        <f t="shared" si="10"/>
        <v>Janeiro</v>
      </c>
    </row>
    <row r="687" spans="1:19" hidden="1" x14ac:dyDescent="0.3">
      <c r="A687">
        <v>686</v>
      </c>
      <c r="B687" s="1">
        <v>44204</v>
      </c>
      <c r="C687">
        <v>40</v>
      </c>
      <c r="D687" t="s">
        <v>40</v>
      </c>
      <c r="E687" t="s">
        <v>98</v>
      </c>
      <c r="F687">
        <v>23</v>
      </c>
      <c r="G687" s="2">
        <v>119</v>
      </c>
      <c r="H687" s="2">
        <v>2737</v>
      </c>
      <c r="I687" s="1">
        <v>0.01</v>
      </c>
      <c r="J687" s="2">
        <v>2709.63</v>
      </c>
      <c r="K687" s="1">
        <v>44210</v>
      </c>
      <c r="L687" s="1">
        <v>44210</v>
      </c>
      <c r="M687">
        <v>686</v>
      </c>
      <c r="N687">
        <v>3</v>
      </c>
      <c r="O687" t="s">
        <v>42</v>
      </c>
      <c r="P687" s="3">
        <v>0.09</v>
      </c>
      <c r="Q687" s="2">
        <v>243.86670000000001</v>
      </c>
      <c r="R687">
        <v>7</v>
      </c>
      <c r="S687" t="str">
        <f t="shared" si="10"/>
        <v>Janeiro</v>
      </c>
    </row>
    <row r="688" spans="1:19" hidden="1" x14ac:dyDescent="0.3">
      <c r="A688">
        <v>687</v>
      </c>
      <c r="B688" s="1">
        <v>44205</v>
      </c>
      <c r="C688">
        <v>5</v>
      </c>
      <c r="D688" t="s">
        <v>31</v>
      </c>
      <c r="E688" t="s">
        <v>97</v>
      </c>
      <c r="F688">
        <v>36</v>
      </c>
      <c r="G688" s="2">
        <v>101</v>
      </c>
      <c r="H688" s="2">
        <v>3636</v>
      </c>
      <c r="I688" s="1">
        <v>7.0000000000000007E-2</v>
      </c>
      <c r="J688" s="2">
        <v>3381.48</v>
      </c>
      <c r="K688" s="1">
        <v>44220</v>
      </c>
      <c r="L688" s="1">
        <v>44220</v>
      </c>
      <c r="M688">
        <v>687</v>
      </c>
      <c r="N688">
        <v>4</v>
      </c>
      <c r="O688" t="s">
        <v>18</v>
      </c>
      <c r="P688" s="3">
        <v>7.0000000000000007E-2</v>
      </c>
      <c r="Q688" s="2">
        <v>236.70360000000002</v>
      </c>
      <c r="R688">
        <v>1</v>
      </c>
      <c r="S688" t="str">
        <f t="shared" si="10"/>
        <v>Janeiro</v>
      </c>
    </row>
    <row r="689" spans="1:19" hidden="1" x14ac:dyDescent="0.3">
      <c r="A689">
        <v>688</v>
      </c>
      <c r="B689" s="1">
        <v>44205</v>
      </c>
      <c r="C689">
        <v>97</v>
      </c>
      <c r="D689" t="s">
        <v>53</v>
      </c>
      <c r="E689" t="s">
        <v>103</v>
      </c>
      <c r="F689">
        <v>20</v>
      </c>
      <c r="G689" s="2">
        <v>103</v>
      </c>
      <c r="H689" s="2">
        <v>2060</v>
      </c>
      <c r="I689" s="1">
        <v>7.0000000000000007E-2</v>
      </c>
      <c r="J689" s="2">
        <v>1915.8</v>
      </c>
      <c r="K689" s="1">
        <v>44205</v>
      </c>
      <c r="L689" s="1">
        <v>44205</v>
      </c>
      <c r="M689">
        <v>688</v>
      </c>
      <c r="N689">
        <v>3</v>
      </c>
      <c r="O689" t="s">
        <v>20</v>
      </c>
      <c r="P689" s="3">
        <v>0.06</v>
      </c>
      <c r="Q689" s="2">
        <v>114.94799999999999</v>
      </c>
      <c r="R689">
        <v>2</v>
      </c>
      <c r="S689" t="str">
        <f t="shared" si="10"/>
        <v>Janeiro</v>
      </c>
    </row>
    <row r="690" spans="1:19" hidden="1" x14ac:dyDescent="0.3">
      <c r="A690">
        <v>689</v>
      </c>
      <c r="B690" s="1">
        <v>44206</v>
      </c>
      <c r="C690">
        <v>69</v>
      </c>
      <c r="D690" t="s">
        <v>54</v>
      </c>
      <c r="E690" t="s">
        <v>95</v>
      </c>
      <c r="F690">
        <v>14</v>
      </c>
      <c r="G690" s="2">
        <v>109</v>
      </c>
      <c r="H690" s="2">
        <v>1526</v>
      </c>
      <c r="I690" s="1">
        <v>0.09</v>
      </c>
      <c r="J690" s="2">
        <v>1388.66</v>
      </c>
      <c r="K690" s="1">
        <v>44228</v>
      </c>
      <c r="L690" s="1">
        <v>44228</v>
      </c>
      <c r="M690">
        <v>689</v>
      </c>
      <c r="N690">
        <v>2</v>
      </c>
      <c r="O690" t="s">
        <v>56</v>
      </c>
      <c r="P690" s="3">
        <v>0.06</v>
      </c>
      <c r="Q690" s="2">
        <v>83.319600000000008</v>
      </c>
      <c r="R690">
        <v>3</v>
      </c>
      <c r="S690" t="str">
        <f t="shared" si="10"/>
        <v>Janeiro</v>
      </c>
    </row>
    <row r="691" spans="1:19" hidden="1" x14ac:dyDescent="0.3">
      <c r="A691">
        <v>690</v>
      </c>
      <c r="B691" s="1">
        <v>44207</v>
      </c>
      <c r="C691">
        <v>75</v>
      </c>
      <c r="D691" t="s">
        <v>31</v>
      </c>
      <c r="E691" t="s">
        <v>101</v>
      </c>
      <c r="F691">
        <v>30</v>
      </c>
      <c r="G691" s="2">
        <v>113</v>
      </c>
      <c r="H691" s="2">
        <v>3390</v>
      </c>
      <c r="I691" s="1">
        <v>7.0000000000000007E-2</v>
      </c>
      <c r="J691" s="2">
        <v>3152.7</v>
      </c>
      <c r="K691" s="1">
        <v>44228</v>
      </c>
      <c r="L691" s="1">
        <v>44228</v>
      </c>
      <c r="M691">
        <v>690</v>
      </c>
      <c r="N691">
        <v>3</v>
      </c>
      <c r="O691" t="s">
        <v>25</v>
      </c>
      <c r="P691" s="3">
        <v>7.0000000000000007E-2</v>
      </c>
      <c r="Q691" s="2">
        <v>220.68900000000002</v>
      </c>
      <c r="R691">
        <v>4</v>
      </c>
      <c r="S691" t="str">
        <f t="shared" si="10"/>
        <v>Janeiro</v>
      </c>
    </row>
    <row r="692" spans="1:19" hidden="1" x14ac:dyDescent="0.3">
      <c r="A692">
        <v>691</v>
      </c>
      <c r="B692" s="1">
        <v>44207</v>
      </c>
      <c r="C692">
        <v>4</v>
      </c>
      <c r="D692" t="s">
        <v>73</v>
      </c>
      <c r="E692" t="s">
        <v>99</v>
      </c>
      <c r="F692">
        <v>39</v>
      </c>
      <c r="G692" s="2">
        <v>105</v>
      </c>
      <c r="H692" s="2">
        <v>4095</v>
      </c>
      <c r="I692" s="1">
        <v>7.0000000000000007E-2</v>
      </c>
      <c r="J692" s="2">
        <v>3808.35</v>
      </c>
      <c r="K692" s="1">
        <v>44232</v>
      </c>
      <c r="M692">
        <v>691</v>
      </c>
      <c r="N692">
        <v>6</v>
      </c>
      <c r="O692" t="s">
        <v>42</v>
      </c>
      <c r="P692" s="3">
        <v>0.1</v>
      </c>
      <c r="Q692" s="2">
        <v>380.83500000000004</v>
      </c>
      <c r="R692">
        <v>5</v>
      </c>
      <c r="S692" t="str">
        <f t="shared" si="10"/>
        <v>Janeiro</v>
      </c>
    </row>
    <row r="693" spans="1:19" hidden="1" x14ac:dyDescent="0.3">
      <c r="A693">
        <v>692</v>
      </c>
      <c r="B693" s="1">
        <v>44208</v>
      </c>
      <c r="C693">
        <v>82</v>
      </c>
      <c r="D693" t="s">
        <v>54</v>
      </c>
      <c r="E693" t="s">
        <v>101</v>
      </c>
      <c r="F693">
        <v>20</v>
      </c>
      <c r="G693" s="2">
        <v>119</v>
      </c>
      <c r="H693" s="2">
        <v>2380</v>
      </c>
      <c r="I693" s="1">
        <v>0.13</v>
      </c>
      <c r="J693" s="2">
        <v>2070.6</v>
      </c>
      <c r="K693" s="1">
        <v>44238</v>
      </c>
      <c r="L693" s="1">
        <v>44238</v>
      </c>
      <c r="M693">
        <v>692</v>
      </c>
      <c r="N693">
        <v>3</v>
      </c>
      <c r="O693" t="s">
        <v>18</v>
      </c>
      <c r="P693" s="3">
        <v>0.09</v>
      </c>
      <c r="Q693" s="2">
        <v>186.35399999999998</v>
      </c>
      <c r="R693">
        <v>6</v>
      </c>
      <c r="S693" t="str">
        <f t="shared" si="10"/>
        <v>Janeiro</v>
      </c>
    </row>
    <row r="694" spans="1:19" hidden="1" x14ac:dyDescent="0.3">
      <c r="A694">
        <v>693</v>
      </c>
      <c r="B694" s="1">
        <v>44208</v>
      </c>
      <c r="C694">
        <v>54</v>
      </c>
      <c r="D694" t="s">
        <v>66</v>
      </c>
      <c r="E694" t="s">
        <v>97</v>
      </c>
      <c r="F694">
        <v>36</v>
      </c>
      <c r="G694" s="2">
        <v>112</v>
      </c>
      <c r="H694" s="2">
        <v>4032</v>
      </c>
      <c r="I694" s="1">
        <v>0.01</v>
      </c>
      <c r="J694" s="2">
        <v>3991.68</v>
      </c>
      <c r="K694" s="1">
        <v>44230</v>
      </c>
      <c r="L694" s="1">
        <v>44230</v>
      </c>
      <c r="M694">
        <v>693</v>
      </c>
      <c r="N694">
        <v>7</v>
      </c>
      <c r="O694" t="s">
        <v>20</v>
      </c>
      <c r="P694" s="3">
        <v>0.08</v>
      </c>
      <c r="Q694" s="2">
        <v>319.33440000000002</v>
      </c>
      <c r="R694">
        <v>7</v>
      </c>
      <c r="S694" t="str">
        <f t="shared" si="10"/>
        <v>Janeiro</v>
      </c>
    </row>
    <row r="695" spans="1:19" hidden="1" x14ac:dyDescent="0.3">
      <c r="A695">
        <v>694</v>
      </c>
      <c r="B695" s="1">
        <v>44209</v>
      </c>
      <c r="C695">
        <v>29</v>
      </c>
      <c r="D695" t="s">
        <v>85</v>
      </c>
      <c r="E695" t="s">
        <v>98</v>
      </c>
      <c r="F695">
        <v>47</v>
      </c>
      <c r="G695" s="2">
        <v>97</v>
      </c>
      <c r="H695" s="2">
        <v>4559</v>
      </c>
      <c r="I695" s="1">
        <v>7.0000000000000007E-2</v>
      </c>
      <c r="J695" s="2">
        <v>4239.87</v>
      </c>
      <c r="K695" s="1">
        <v>44230</v>
      </c>
      <c r="L695" s="1">
        <v>44230</v>
      </c>
      <c r="M695">
        <v>694</v>
      </c>
      <c r="N695">
        <v>6</v>
      </c>
      <c r="O695" t="s">
        <v>38</v>
      </c>
      <c r="P695" s="3">
        <v>0.09</v>
      </c>
      <c r="Q695" s="2">
        <v>381.5883</v>
      </c>
      <c r="R695">
        <v>1</v>
      </c>
      <c r="S695" t="str">
        <f t="shared" si="10"/>
        <v>Janeiro</v>
      </c>
    </row>
    <row r="696" spans="1:19" x14ac:dyDescent="0.3">
      <c r="A696">
        <v>695</v>
      </c>
      <c r="B696" s="1">
        <v>44209</v>
      </c>
      <c r="C696">
        <v>8</v>
      </c>
      <c r="D696" t="s">
        <v>31</v>
      </c>
      <c r="E696" t="s">
        <v>102</v>
      </c>
      <c r="F696">
        <v>37</v>
      </c>
      <c r="G696" s="2">
        <v>120</v>
      </c>
      <c r="H696" s="2">
        <v>4440</v>
      </c>
      <c r="I696" s="1">
        <v>0.06</v>
      </c>
      <c r="J696" s="2">
        <v>4173.6000000000004</v>
      </c>
      <c r="K696" s="1">
        <v>44211</v>
      </c>
      <c r="L696" s="1">
        <v>44211</v>
      </c>
      <c r="M696">
        <v>695</v>
      </c>
      <c r="N696">
        <v>4</v>
      </c>
      <c r="O696" t="s">
        <v>35</v>
      </c>
      <c r="P696" s="3">
        <v>0.08</v>
      </c>
      <c r="Q696" s="2">
        <v>333.88800000000003</v>
      </c>
      <c r="R696">
        <v>2</v>
      </c>
      <c r="S696" t="str">
        <f t="shared" si="10"/>
        <v>Janeiro</v>
      </c>
    </row>
    <row r="697" spans="1:19" x14ac:dyDescent="0.3">
      <c r="A697">
        <v>696</v>
      </c>
      <c r="B697" s="1">
        <v>44209</v>
      </c>
      <c r="C697">
        <v>40</v>
      </c>
      <c r="D697" t="s">
        <v>40</v>
      </c>
      <c r="E697" t="s">
        <v>98</v>
      </c>
      <c r="F697">
        <v>29</v>
      </c>
      <c r="G697" s="2">
        <v>108</v>
      </c>
      <c r="H697" s="2">
        <v>3132</v>
      </c>
      <c r="I697" s="1">
        <v>0</v>
      </c>
      <c r="J697" s="2">
        <v>3132</v>
      </c>
      <c r="K697" s="1">
        <v>44232</v>
      </c>
      <c r="L697" s="1">
        <v>44232</v>
      </c>
      <c r="M697">
        <v>696</v>
      </c>
      <c r="N697">
        <v>5</v>
      </c>
      <c r="O697" t="s">
        <v>35</v>
      </c>
      <c r="P697" s="3">
        <v>0.06</v>
      </c>
      <c r="Q697" s="2">
        <v>187.92</v>
      </c>
      <c r="R697">
        <v>3</v>
      </c>
      <c r="S697" t="str">
        <f t="shared" si="10"/>
        <v>Janeiro</v>
      </c>
    </row>
    <row r="698" spans="1:19" hidden="1" x14ac:dyDescent="0.3">
      <c r="A698">
        <v>697</v>
      </c>
      <c r="B698" s="1">
        <v>44209</v>
      </c>
      <c r="C698">
        <v>13</v>
      </c>
      <c r="D698" t="s">
        <v>62</v>
      </c>
      <c r="E698" t="s">
        <v>102</v>
      </c>
      <c r="F698">
        <v>24</v>
      </c>
      <c r="G698" s="2">
        <v>93</v>
      </c>
      <c r="H698" s="2">
        <v>2232</v>
      </c>
      <c r="I698" s="1">
        <v>0.11</v>
      </c>
      <c r="J698" s="2">
        <v>1986.48</v>
      </c>
      <c r="K698" s="1">
        <v>44230</v>
      </c>
      <c r="L698" s="1">
        <v>44230</v>
      </c>
      <c r="M698">
        <v>697</v>
      </c>
      <c r="N698">
        <v>3</v>
      </c>
      <c r="O698" t="s">
        <v>25</v>
      </c>
      <c r="P698" s="3">
        <v>0.08</v>
      </c>
      <c r="Q698" s="2">
        <v>158.91839999999999</v>
      </c>
      <c r="R698">
        <v>4</v>
      </c>
      <c r="S698" t="str">
        <f t="shared" si="10"/>
        <v>Janeiro</v>
      </c>
    </row>
    <row r="699" spans="1:19" hidden="1" x14ac:dyDescent="0.3">
      <c r="A699">
        <v>698</v>
      </c>
      <c r="B699" s="1">
        <v>44210</v>
      </c>
      <c r="C699">
        <v>69</v>
      </c>
      <c r="D699" t="s">
        <v>54</v>
      </c>
      <c r="E699" t="s">
        <v>102</v>
      </c>
      <c r="F699">
        <v>18</v>
      </c>
      <c r="G699" s="2">
        <v>106</v>
      </c>
      <c r="H699" s="2">
        <v>1908</v>
      </c>
      <c r="I699" s="1">
        <v>0.15</v>
      </c>
      <c r="J699" s="2">
        <v>1621.8</v>
      </c>
      <c r="K699" s="1">
        <v>44218</v>
      </c>
      <c r="L699" s="1">
        <v>44218</v>
      </c>
      <c r="M699">
        <v>698</v>
      </c>
      <c r="N699">
        <v>1</v>
      </c>
      <c r="O699" t="s">
        <v>30</v>
      </c>
      <c r="P699" s="3">
        <v>7.0000000000000007E-2</v>
      </c>
      <c r="Q699" s="2">
        <v>113.52600000000001</v>
      </c>
      <c r="R699">
        <v>5</v>
      </c>
      <c r="S699" t="str">
        <f t="shared" si="10"/>
        <v>Janeiro</v>
      </c>
    </row>
    <row r="700" spans="1:19" hidden="1" x14ac:dyDescent="0.3">
      <c r="A700">
        <v>699</v>
      </c>
      <c r="B700" s="1">
        <v>44210</v>
      </c>
      <c r="C700">
        <v>63</v>
      </c>
      <c r="D700" t="s">
        <v>67</v>
      </c>
      <c r="E700" t="s">
        <v>104</v>
      </c>
      <c r="F700">
        <v>26</v>
      </c>
      <c r="G700" s="2">
        <v>107</v>
      </c>
      <c r="H700" s="2">
        <v>2782</v>
      </c>
      <c r="I700" s="1">
        <v>0.15</v>
      </c>
      <c r="J700" s="2">
        <v>2364.6999999999998</v>
      </c>
      <c r="K700" s="1">
        <v>44232</v>
      </c>
      <c r="L700" s="1">
        <v>44232</v>
      </c>
      <c r="M700">
        <v>699</v>
      </c>
      <c r="N700">
        <v>1</v>
      </c>
      <c r="O700" t="s">
        <v>38</v>
      </c>
      <c r="P700" s="3">
        <v>0.1</v>
      </c>
      <c r="Q700" s="2">
        <v>236.47</v>
      </c>
      <c r="R700">
        <v>6</v>
      </c>
      <c r="S700" t="str">
        <f t="shared" si="10"/>
        <v>Janeiro</v>
      </c>
    </row>
    <row r="701" spans="1:19" hidden="1" x14ac:dyDescent="0.3">
      <c r="A701">
        <v>700</v>
      </c>
      <c r="B701" s="1">
        <v>44210</v>
      </c>
      <c r="C701">
        <v>6</v>
      </c>
      <c r="D701" t="s">
        <v>75</v>
      </c>
      <c r="E701" t="s">
        <v>95</v>
      </c>
      <c r="F701">
        <v>49</v>
      </c>
      <c r="G701" s="2">
        <v>103</v>
      </c>
      <c r="H701" s="2">
        <v>5047</v>
      </c>
      <c r="I701" s="1">
        <v>0.13</v>
      </c>
      <c r="J701" s="2">
        <v>4390.8900000000003</v>
      </c>
      <c r="K701" s="1">
        <v>44235</v>
      </c>
      <c r="L701" s="1">
        <v>44235</v>
      </c>
      <c r="M701">
        <v>700</v>
      </c>
      <c r="N701">
        <v>1</v>
      </c>
      <c r="O701" t="s">
        <v>56</v>
      </c>
      <c r="P701" s="3">
        <v>0.1</v>
      </c>
      <c r="Q701" s="2">
        <v>439.08900000000006</v>
      </c>
      <c r="R701">
        <v>7</v>
      </c>
      <c r="S701" t="str">
        <f t="shared" si="10"/>
        <v>Janeiro</v>
      </c>
    </row>
    <row r="702" spans="1:19" hidden="1" x14ac:dyDescent="0.3">
      <c r="A702">
        <v>701</v>
      </c>
      <c r="B702" s="1">
        <v>44211</v>
      </c>
      <c r="C702">
        <v>31</v>
      </c>
      <c r="D702" t="s">
        <v>72</v>
      </c>
      <c r="E702" t="s">
        <v>95</v>
      </c>
      <c r="F702">
        <v>25</v>
      </c>
      <c r="G702" s="2">
        <v>92</v>
      </c>
      <c r="H702" s="2">
        <v>2300</v>
      </c>
      <c r="I702" s="1">
        <v>0.01</v>
      </c>
      <c r="J702" s="2">
        <v>2277</v>
      </c>
      <c r="K702" s="1">
        <v>44224</v>
      </c>
      <c r="L702" s="1">
        <v>44224</v>
      </c>
      <c r="M702">
        <v>701</v>
      </c>
      <c r="N702">
        <v>1</v>
      </c>
      <c r="O702" t="s">
        <v>20</v>
      </c>
      <c r="P702" s="3">
        <v>0.05</v>
      </c>
      <c r="Q702" s="2">
        <v>113.85000000000001</v>
      </c>
      <c r="R702">
        <v>1</v>
      </c>
      <c r="S702" t="str">
        <f t="shared" si="10"/>
        <v>Janeiro</v>
      </c>
    </row>
    <row r="703" spans="1:19" hidden="1" x14ac:dyDescent="0.3">
      <c r="A703">
        <v>702</v>
      </c>
      <c r="B703" s="1">
        <v>44214</v>
      </c>
      <c r="C703">
        <v>96</v>
      </c>
      <c r="D703" t="s">
        <v>34</v>
      </c>
      <c r="E703" t="s">
        <v>98</v>
      </c>
      <c r="F703">
        <v>16</v>
      </c>
      <c r="G703" s="2">
        <v>98</v>
      </c>
      <c r="H703" s="2">
        <v>1568</v>
      </c>
      <c r="I703" s="1">
        <v>0.15</v>
      </c>
      <c r="J703" s="2">
        <v>1332.8</v>
      </c>
      <c r="K703" s="1">
        <v>44225</v>
      </c>
      <c r="L703" s="1">
        <v>44225</v>
      </c>
      <c r="M703">
        <v>702</v>
      </c>
      <c r="N703">
        <v>5</v>
      </c>
      <c r="O703" t="s">
        <v>30</v>
      </c>
      <c r="P703" s="3">
        <v>7.0000000000000007E-2</v>
      </c>
      <c r="Q703" s="2">
        <v>93.296000000000006</v>
      </c>
      <c r="R703">
        <v>2</v>
      </c>
      <c r="S703" t="str">
        <f t="shared" si="10"/>
        <v>Janeiro</v>
      </c>
    </row>
    <row r="704" spans="1:19" hidden="1" x14ac:dyDescent="0.3">
      <c r="A704">
        <v>703</v>
      </c>
      <c r="B704" s="1">
        <v>44214</v>
      </c>
      <c r="C704">
        <v>62</v>
      </c>
      <c r="D704" t="s">
        <v>31</v>
      </c>
      <c r="E704" t="s">
        <v>101</v>
      </c>
      <c r="F704">
        <v>29</v>
      </c>
      <c r="G704" s="2">
        <v>112</v>
      </c>
      <c r="H704" s="2">
        <v>3248</v>
      </c>
      <c r="I704" s="1">
        <v>0.03</v>
      </c>
      <c r="J704" s="2">
        <v>3150.56</v>
      </c>
      <c r="K704" s="1">
        <v>44233</v>
      </c>
      <c r="L704" s="1">
        <v>44233</v>
      </c>
      <c r="M704">
        <v>703</v>
      </c>
      <c r="N704">
        <v>6</v>
      </c>
      <c r="O704" t="s">
        <v>23</v>
      </c>
      <c r="P704" s="3">
        <v>0.06</v>
      </c>
      <c r="Q704" s="2">
        <v>189.03359999999998</v>
      </c>
      <c r="R704">
        <v>3</v>
      </c>
      <c r="S704" t="str">
        <f t="shared" si="10"/>
        <v>Janeiro</v>
      </c>
    </row>
    <row r="705" spans="1:19" hidden="1" x14ac:dyDescent="0.3">
      <c r="A705">
        <v>704</v>
      </c>
      <c r="B705" s="1">
        <v>44214</v>
      </c>
      <c r="C705">
        <v>85</v>
      </c>
      <c r="D705" t="s">
        <v>45</v>
      </c>
      <c r="E705" t="s">
        <v>103</v>
      </c>
      <c r="F705">
        <v>32</v>
      </c>
      <c r="G705" s="2">
        <v>97</v>
      </c>
      <c r="H705" s="2">
        <v>3104</v>
      </c>
      <c r="I705" s="1">
        <v>0.01</v>
      </c>
      <c r="J705" s="2">
        <v>3072.96</v>
      </c>
      <c r="K705" s="1">
        <v>44217</v>
      </c>
      <c r="L705" s="1">
        <v>44217</v>
      </c>
      <c r="M705">
        <v>704</v>
      </c>
      <c r="N705">
        <v>2</v>
      </c>
      <c r="O705" t="s">
        <v>18</v>
      </c>
      <c r="P705" s="3">
        <v>0.1</v>
      </c>
      <c r="Q705" s="2">
        <v>307.29600000000005</v>
      </c>
      <c r="R705">
        <v>4</v>
      </c>
      <c r="S705" t="str">
        <f t="shared" si="10"/>
        <v>Janeiro</v>
      </c>
    </row>
    <row r="706" spans="1:19" hidden="1" x14ac:dyDescent="0.3">
      <c r="A706">
        <v>705</v>
      </c>
      <c r="B706" s="1">
        <v>44214</v>
      </c>
      <c r="C706">
        <v>38</v>
      </c>
      <c r="D706" t="s">
        <v>60</v>
      </c>
      <c r="E706" t="s">
        <v>95</v>
      </c>
      <c r="F706">
        <v>46</v>
      </c>
      <c r="G706" s="2">
        <v>102</v>
      </c>
      <c r="H706" s="2">
        <v>4692</v>
      </c>
      <c r="I706" s="1">
        <v>0.08</v>
      </c>
      <c r="J706" s="2">
        <v>4316.6400000000003</v>
      </c>
      <c r="K706" s="1">
        <v>44240</v>
      </c>
      <c r="L706" s="1">
        <v>44240</v>
      </c>
      <c r="M706">
        <v>705</v>
      </c>
      <c r="N706">
        <v>1</v>
      </c>
      <c r="O706" t="s">
        <v>30</v>
      </c>
      <c r="P706" s="3">
        <v>0.05</v>
      </c>
      <c r="Q706" s="2">
        <v>215.83200000000002</v>
      </c>
      <c r="R706">
        <v>5</v>
      </c>
      <c r="S706" t="str">
        <f t="shared" si="10"/>
        <v>Janeiro</v>
      </c>
    </row>
    <row r="707" spans="1:19" x14ac:dyDescent="0.3">
      <c r="A707">
        <v>706</v>
      </c>
      <c r="B707" s="1">
        <v>44215</v>
      </c>
      <c r="C707">
        <v>27</v>
      </c>
      <c r="D707" t="s">
        <v>88</v>
      </c>
      <c r="E707" t="s">
        <v>101</v>
      </c>
      <c r="F707">
        <v>14</v>
      </c>
      <c r="G707" s="2">
        <v>110</v>
      </c>
      <c r="H707" s="2">
        <v>1540</v>
      </c>
      <c r="I707" s="1">
        <v>0.06</v>
      </c>
      <c r="J707" s="2">
        <v>1447.6</v>
      </c>
      <c r="K707" s="1">
        <v>44233</v>
      </c>
      <c r="L707" s="1">
        <v>44233</v>
      </c>
      <c r="M707">
        <v>706</v>
      </c>
      <c r="N707">
        <v>1</v>
      </c>
      <c r="O707" t="s">
        <v>35</v>
      </c>
      <c r="P707" s="3">
        <v>0.06</v>
      </c>
      <c r="Q707" s="2">
        <v>86.855999999999995</v>
      </c>
      <c r="R707">
        <v>6</v>
      </c>
      <c r="S707" t="str">
        <f t="shared" ref="S707:S770" si="11">PROPER(TEXT(B707,"mmmm"))</f>
        <v>Janeiro</v>
      </c>
    </row>
    <row r="708" spans="1:19" hidden="1" x14ac:dyDescent="0.3">
      <c r="A708">
        <v>707</v>
      </c>
      <c r="B708" s="1">
        <v>44215</v>
      </c>
      <c r="C708">
        <v>31</v>
      </c>
      <c r="D708" t="s">
        <v>72</v>
      </c>
      <c r="E708" t="s">
        <v>96</v>
      </c>
      <c r="F708">
        <v>14</v>
      </c>
      <c r="G708" s="2">
        <v>116</v>
      </c>
      <c r="H708" s="2">
        <v>1624</v>
      </c>
      <c r="I708" s="1">
        <v>0.14000000000000001</v>
      </c>
      <c r="J708" s="2">
        <v>1396.6399999999999</v>
      </c>
      <c r="K708" s="1">
        <v>44217</v>
      </c>
      <c r="L708" s="1">
        <v>44217</v>
      </c>
      <c r="M708">
        <v>707</v>
      </c>
      <c r="N708">
        <v>1</v>
      </c>
      <c r="O708" t="s">
        <v>18</v>
      </c>
      <c r="P708" s="3">
        <v>0.08</v>
      </c>
      <c r="Q708" s="2">
        <v>111.73119999999999</v>
      </c>
      <c r="R708">
        <v>7</v>
      </c>
      <c r="S708" t="str">
        <f t="shared" si="11"/>
        <v>Janeiro</v>
      </c>
    </row>
    <row r="709" spans="1:19" hidden="1" x14ac:dyDescent="0.3">
      <c r="A709">
        <v>708</v>
      </c>
      <c r="B709" s="1">
        <v>44215</v>
      </c>
      <c r="C709">
        <v>84</v>
      </c>
      <c r="D709" t="s">
        <v>36</v>
      </c>
      <c r="E709" t="s">
        <v>97</v>
      </c>
      <c r="F709">
        <v>39</v>
      </c>
      <c r="G709" s="2">
        <v>117</v>
      </c>
      <c r="H709" s="2">
        <v>4563</v>
      </c>
      <c r="I709" s="1">
        <v>0.12</v>
      </c>
      <c r="J709" s="2">
        <v>4015.44</v>
      </c>
      <c r="K709" s="1">
        <v>44233</v>
      </c>
      <c r="L709" s="1">
        <v>44233</v>
      </c>
      <c r="M709">
        <v>708</v>
      </c>
      <c r="N709">
        <v>6</v>
      </c>
      <c r="O709" t="s">
        <v>38</v>
      </c>
      <c r="P709" s="3">
        <v>0.08</v>
      </c>
      <c r="Q709" s="2">
        <v>321.23520000000002</v>
      </c>
      <c r="R709">
        <v>1</v>
      </c>
      <c r="S709" t="str">
        <f t="shared" si="11"/>
        <v>Janeiro</v>
      </c>
    </row>
    <row r="710" spans="1:19" hidden="1" x14ac:dyDescent="0.3">
      <c r="A710">
        <v>709</v>
      </c>
      <c r="B710" s="1">
        <v>44215</v>
      </c>
      <c r="C710">
        <v>2</v>
      </c>
      <c r="D710" t="s">
        <v>28</v>
      </c>
      <c r="E710" t="s">
        <v>99</v>
      </c>
      <c r="F710">
        <v>13</v>
      </c>
      <c r="G710" s="2">
        <v>97</v>
      </c>
      <c r="H710" s="2">
        <v>1261</v>
      </c>
      <c r="I710" s="1">
        <v>0</v>
      </c>
      <c r="J710" s="2">
        <v>1261</v>
      </c>
      <c r="K710" s="1">
        <v>44237</v>
      </c>
      <c r="L710" s="1">
        <v>44237</v>
      </c>
      <c r="M710">
        <v>709</v>
      </c>
      <c r="N710">
        <v>2</v>
      </c>
      <c r="O710" t="s">
        <v>38</v>
      </c>
      <c r="P710" s="3">
        <v>0.06</v>
      </c>
      <c r="Q710" s="2">
        <v>75.66</v>
      </c>
      <c r="R710">
        <v>2</v>
      </c>
      <c r="S710" t="str">
        <f t="shared" si="11"/>
        <v>Janeiro</v>
      </c>
    </row>
    <row r="711" spans="1:19" hidden="1" x14ac:dyDescent="0.3">
      <c r="A711">
        <v>710</v>
      </c>
      <c r="B711" s="1">
        <v>44215</v>
      </c>
      <c r="C711">
        <v>59</v>
      </c>
      <c r="D711" t="s">
        <v>84</v>
      </c>
      <c r="E711" t="s">
        <v>98</v>
      </c>
      <c r="F711">
        <v>21</v>
      </c>
      <c r="G711" s="2">
        <v>114</v>
      </c>
      <c r="H711" s="2">
        <v>2394</v>
      </c>
      <c r="I711" s="1">
        <v>0.12</v>
      </c>
      <c r="J711" s="2">
        <v>2106.7200000000003</v>
      </c>
      <c r="K711" s="1">
        <v>44245</v>
      </c>
      <c r="L711" s="1">
        <v>44245</v>
      </c>
      <c r="M711">
        <v>710</v>
      </c>
      <c r="N711">
        <v>7</v>
      </c>
      <c r="O711" t="s">
        <v>42</v>
      </c>
      <c r="P711" s="3">
        <v>0.05</v>
      </c>
      <c r="Q711" s="2">
        <v>105.33600000000001</v>
      </c>
      <c r="R711">
        <v>3</v>
      </c>
      <c r="S711" t="str">
        <f t="shared" si="11"/>
        <v>Janeiro</v>
      </c>
    </row>
    <row r="712" spans="1:19" hidden="1" x14ac:dyDescent="0.3">
      <c r="A712">
        <v>711</v>
      </c>
      <c r="B712" s="1">
        <v>44217</v>
      </c>
      <c r="C712">
        <v>47</v>
      </c>
      <c r="D712" t="s">
        <v>33</v>
      </c>
      <c r="E712" t="s">
        <v>99</v>
      </c>
      <c r="F712">
        <v>32</v>
      </c>
      <c r="G712" s="2">
        <v>119</v>
      </c>
      <c r="H712" s="2">
        <v>3808</v>
      </c>
      <c r="I712" s="1">
        <v>0</v>
      </c>
      <c r="J712" s="2">
        <v>3808</v>
      </c>
      <c r="K712" s="1">
        <v>44226</v>
      </c>
      <c r="L712" s="1">
        <v>44226</v>
      </c>
      <c r="M712">
        <v>711</v>
      </c>
      <c r="N712">
        <v>3</v>
      </c>
      <c r="O712" t="s">
        <v>18</v>
      </c>
      <c r="P712" s="3">
        <v>0.1</v>
      </c>
      <c r="Q712" s="2">
        <v>380.8</v>
      </c>
      <c r="R712">
        <v>4</v>
      </c>
      <c r="S712" t="str">
        <f t="shared" si="11"/>
        <v>Janeiro</v>
      </c>
    </row>
    <row r="713" spans="1:19" hidden="1" x14ac:dyDescent="0.3">
      <c r="A713">
        <v>712</v>
      </c>
      <c r="B713" s="1">
        <v>44217</v>
      </c>
      <c r="C713">
        <v>44</v>
      </c>
      <c r="D713" t="s">
        <v>58</v>
      </c>
      <c r="E713" t="s">
        <v>103</v>
      </c>
      <c r="F713">
        <v>28</v>
      </c>
      <c r="G713" s="2">
        <v>108</v>
      </c>
      <c r="H713" s="2">
        <v>3024</v>
      </c>
      <c r="I713" s="1">
        <v>0.14000000000000001</v>
      </c>
      <c r="J713" s="2">
        <v>2600.64</v>
      </c>
      <c r="K713" s="1">
        <v>44240</v>
      </c>
      <c r="L713" s="1">
        <v>44240</v>
      </c>
      <c r="M713">
        <v>712</v>
      </c>
      <c r="N713">
        <v>7</v>
      </c>
      <c r="O713" t="s">
        <v>30</v>
      </c>
      <c r="P713" s="3">
        <v>0.1</v>
      </c>
      <c r="Q713" s="2">
        <v>260.06400000000002</v>
      </c>
      <c r="R713">
        <v>5</v>
      </c>
      <c r="S713" t="str">
        <f t="shared" si="11"/>
        <v>Janeiro</v>
      </c>
    </row>
    <row r="714" spans="1:19" hidden="1" x14ac:dyDescent="0.3">
      <c r="A714">
        <v>713</v>
      </c>
      <c r="B714" s="1">
        <v>44218</v>
      </c>
      <c r="C714">
        <v>34</v>
      </c>
      <c r="D714" t="s">
        <v>46</v>
      </c>
      <c r="E714" t="s">
        <v>102</v>
      </c>
      <c r="F714">
        <v>31</v>
      </c>
      <c r="G714" s="2">
        <v>119</v>
      </c>
      <c r="H714" s="2">
        <v>3689</v>
      </c>
      <c r="I714" s="1">
        <v>0.12</v>
      </c>
      <c r="J714" s="2">
        <v>3246.32</v>
      </c>
      <c r="K714" s="1">
        <v>44233</v>
      </c>
      <c r="L714" s="1">
        <v>44233</v>
      </c>
      <c r="M714">
        <v>713</v>
      </c>
      <c r="N714">
        <v>6</v>
      </c>
      <c r="O714" t="s">
        <v>42</v>
      </c>
      <c r="P714" s="3">
        <v>0.09</v>
      </c>
      <c r="Q714" s="2">
        <v>292.16879999999998</v>
      </c>
      <c r="R714">
        <v>6</v>
      </c>
      <c r="S714" t="str">
        <f t="shared" si="11"/>
        <v>Janeiro</v>
      </c>
    </row>
    <row r="715" spans="1:19" hidden="1" x14ac:dyDescent="0.3">
      <c r="A715">
        <v>714</v>
      </c>
      <c r="B715" s="1">
        <v>44218</v>
      </c>
      <c r="C715">
        <v>51</v>
      </c>
      <c r="D715" t="s">
        <v>43</v>
      </c>
      <c r="E715" t="s">
        <v>97</v>
      </c>
      <c r="F715">
        <v>15</v>
      </c>
      <c r="G715" s="2">
        <v>116</v>
      </c>
      <c r="H715" s="2">
        <v>1740</v>
      </c>
      <c r="I715" s="1">
        <v>0.15</v>
      </c>
      <c r="J715" s="2">
        <v>1479</v>
      </c>
      <c r="K715" s="1">
        <v>44233</v>
      </c>
      <c r="L715" s="1">
        <v>44233</v>
      </c>
      <c r="M715">
        <v>714</v>
      </c>
      <c r="N715">
        <v>6</v>
      </c>
      <c r="O715" t="s">
        <v>27</v>
      </c>
      <c r="P715" s="3">
        <v>0.06</v>
      </c>
      <c r="Q715" s="2">
        <v>88.74</v>
      </c>
      <c r="R715">
        <v>7</v>
      </c>
      <c r="S715" t="str">
        <f t="shared" si="11"/>
        <v>Janeiro</v>
      </c>
    </row>
    <row r="716" spans="1:19" hidden="1" x14ac:dyDescent="0.3">
      <c r="A716">
        <v>715</v>
      </c>
      <c r="B716" s="1">
        <v>44219</v>
      </c>
      <c r="C716">
        <v>41</v>
      </c>
      <c r="D716" t="s">
        <v>55</v>
      </c>
      <c r="E716" t="s">
        <v>97</v>
      </c>
      <c r="F716">
        <v>11</v>
      </c>
      <c r="G716" s="2">
        <v>90</v>
      </c>
      <c r="H716" s="2">
        <v>990</v>
      </c>
      <c r="I716" s="1">
        <v>0.09</v>
      </c>
      <c r="J716" s="2">
        <v>900.9</v>
      </c>
      <c r="K716" s="1">
        <v>44229</v>
      </c>
      <c r="L716" s="1">
        <v>44229</v>
      </c>
      <c r="M716">
        <v>715</v>
      </c>
      <c r="N716">
        <v>5</v>
      </c>
      <c r="O716" t="s">
        <v>25</v>
      </c>
      <c r="P716" s="3">
        <v>0.1</v>
      </c>
      <c r="Q716" s="2">
        <v>90.09</v>
      </c>
      <c r="R716">
        <v>1</v>
      </c>
      <c r="S716" t="str">
        <f t="shared" si="11"/>
        <v>Janeiro</v>
      </c>
    </row>
    <row r="717" spans="1:19" hidden="1" x14ac:dyDescent="0.3">
      <c r="A717">
        <v>716</v>
      </c>
      <c r="B717" s="1">
        <v>44219</v>
      </c>
      <c r="C717">
        <v>89</v>
      </c>
      <c r="D717" t="s">
        <v>40</v>
      </c>
      <c r="E717" t="s">
        <v>103</v>
      </c>
      <c r="F717">
        <v>26</v>
      </c>
      <c r="G717" s="2">
        <v>116</v>
      </c>
      <c r="H717" s="2">
        <v>3016</v>
      </c>
      <c r="I717" s="1">
        <v>0.03</v>
      </c>
      <c r="J717" s="2">
        <v>2925.52</v>
      </c>
      <c r="K717" s="1">
        <v>44225</v>
      </c>
      <c r="L717" s="1">
        <v>44225</v>
      </c>
      <c r="M717">
        <v>716</v>
      </c>
      <c r="N717">
        <v>4</v>
      </c>
      <c r="O717" t="s">
        <v>25</v>
      </c>
      <c r="P717" s="3">
        <v>0.1</v>
      </c>
      <c r="Q717" s="2">
        <v>292.55200000000002</v>
      </c>
      <c r="R717">
        <v>2</v>
      </c>
      <c r="S717" t="str">
        <f t="shared" si="11"/>
        <v>Janeiro</v>
      </c>
    </row>
    <row r="718" spans="1:19" hidden="1" x14ac:dyDescent="0.3">
      <c r="A718">
        <v>717</v>
      </c>
      <c r="B718" s="1">
        <v>44220</v>
      </c>
      <c r="C718">
        <v>61</v>
      </c>
      <c r="D718" t="s">
        <v>44</v>
      </c>
      <c r="E718" t="s">
        <v>96</v>
      </c>
      <c r="F718">
        <v>29</v>
      </c>
      <c r="G718" s="2">
        <v>97</v>
      </c>
      <c r="H718" s="2">
        <v>2813</v>
      </c>
      <c r="I718" s="1">
        <v>0</v>
      </c>
      <c r="J718" s="2">
        <v>2813</v>
      </c>
      <c r="K718" s="1">
        <v>44235</v>
      </c>
      <c r="L718" s="1">
        <v>44235</v>
      </c>
      <c r="M718">
        <v>717</v>
      </c>
      <c r="N718">
        <v>1</v>
      </c>
      <c r="O718" t="s">
        <v>18</v>
      </c>
      <c r="P718" s="3">
        <v>0.06</v>
      </c>
      <c r="Q718" s="2">
        <v>168.78</v>
      </c>
      <c r="R718">
        <v>3</v>
      </c>
      <c r="S718" t="str">
        <f t="shared" si="11"/>
        <v>Janeiro</v>
      </c>
    </row>
    <row r="719" spans="1:19" hidden="1" x14ac:dyDescent="0.3">
      <c r="A719">
        <v>718</v>
      </c>
      <c r="B719" s="1">
        <v>44221</v>
      </c>
      <c r="C719">
        <v>83</v>
      </c>
      <c r="D719" t="s">
        <v>87</v>
      </c>
      <c r="E719" t="s">
        <v>104</v>
      </c>
      <c r="F719">
        <v>16</v>
      </c>
      <c r="G719" s="2">
        <v>92</v>
      </c>
      <c r="H719" s="2">
        <v>1472</v>
      </c>
      <c r="I719" s="1">
        <v>0.04</v>
      </c>
      <c r="J719" s="2">
        <v>1413.12</v>
      </c>
      <c r="K719" s="1">
        <v>44229</v>
      </c>
      <c r="L719" s="1">
        <v>44229</v>
      </c>
      <c r="M719">
        <v>718</v>
      </c>
      <c r="N719">
        <v>1</v>
      </c>
      <c r="O719" t="s">
        <v>30</v>
      </c>
      <c r="P719" s="3">
        <v>0.08</v>
      </c>
      <c r="Q719" s="2">
        <v>113.0496</v>
      </c>
      <c r="R719">
        <v>4</v>
      </c>
      <c r="S719" t="str">
        <f t="shared" si="11"/>
        <v>Janeiro</v>
      </c>
    </row>
    <row r="720" spans="1:19" hidden="1" x14ac:dyDescent="0.3">
      <c r="A720">
        <v>719</v>
      </c>
      <c r="B720" s="1">
        <v>44222</v>
      </c>
      <c r="C720">
        <v>30</v>
      </c>
      <c r="D720" t="s">
        <v>83</v>
      </c>
      <c r="E720" t="s">
        <v>95</v>
      </c>
      <c r="F720">
        <v>23</v>
      </c>
      <c r="G720" s="2">
        <v>109</v>
      </c>
      <c r="H720" s="2">
        <v>2507</v>
      </c>
      <c r="I720" s="1">
        <v>0.04</v>
      </c>
      <c r="J720" s="2">
        <v>2406.7199999999998</v>
      </c>
      <c r="K720" s="1">
        <v>44239</v>
      </c>
      <c r="L720" s="1">
        <v>44239</v>
      </c>
      <c r="M720">
        <v>719</v>
      </c>
      <c r="N720">
        <v>4</v>
      </c>
      <c r="O720" t="s">
        <v>42</v>
      </c>
      <c r="P720" s="3">
        <v>0.1</v>
      </c>
      <c r="Q720" s="2">
        <v>240.672</v>
      </c>
      <c r="R720">
        <v>5</v>
      </c>
      <c r="S720" t="str">
        <f t="shared" si="11"/>
        <v>Janeiro</v>
      </c>
    </row>
    <row r="721" spans="1:19" hidden="1" x14ac:dyDescent="0.3">
      <c r="A721">
        <v>720</v>
      </c>
      <c r="B721" s="1">
        <v>44222</v>
      </c>
      <c r="C721">
        <v>93</v>
      </c>
      <c r="D721" t="s">
        <v>26</v>
      </c>
      <c r="E721" t="s">
        <v>96</v>
      </c>
      <c r="F721">
        <v>50</v>
      </c>
      <c r="G721" s="2">
        <v>120</v>
      </c>
      <c r="H721" s="2">
        <v>6000</v>
      </c>
      <c r="I721" s="1">
        <v>0.08</v>
      </c>
      <c r="J721" s="2">
        <v>5520</v>
      </c>
      <c r="K721" s="1">
        <v>44243</v>
      </c>
      <c r="L721" s="1">
        <v>44243</v>
      </c>
      <c r="M721">
        <v>720</v>
      </c>
      <c r="N721">
        <v>1</v>
      </c>
      <c r="O721" t="s">
        <v>42</v>
      </c>
      <c r="P721" s="3">
        <v>0.1</v>
      </c>
      <c r="Q721" s="2">
        <v>552</v>
      </c>
      <c r="R721">
        <v>6</v>
      </c>
      <c r="S721" t="str">
        <f t="shared" si="11"/>
        <v>Janeiro</v>
      </c>
    </row>
    <row r="722" spans="1:19" hidden="1" x14ac:dyDescent="0.3">
      <c r="A722">
        <v>721</v>
      </c>
      <c r="B722" s="1">
        <v>44223</v>
      </c>
      <c r="C722">
        <v>38</v>
      </c>
      <c r="D722" t="s">
        <v>60</v>
      </c>
      <c r="E722" t="s">
        <v>103</v>
      </c>
      <c r="F722">
        <v>37</v>
      </c>
      <c r="G722" s="2">
        <v>109</v>
      </c>
      <c r="H722" s="2">
        <v>4033</v>
      </c>
      <c r="I722" s="1">
        <v>0.05</v>
      </c>
      <c r="J722" s="2">
        <v>3831.35</v>
      </c>
      <c r="K722" s="1">
        <v>44225</v>
      </c>
      <c r="L722" s="1">
        <v>44225</v>
      </c>
      <c r="M722">
        <v>721</v>
      </c>
      <c r="N722">
        <v>5</v>
      </c>
      <c r="O722" t="s">
        <v>30</v>
      </c>
      <c r="P722" s="3">
        <v>0.05</v>
      </c>
      <c r="Q722" s="2">
        <v>191.5675</v>
      </c>
      <c r="R722">
        <v>7</v>
      </c>
      <c r="S722" t="str">
        <f t="shared" si="11"/>
        <v>Janeiro</v>
      </c>
    </row>
    <row r="723" spans="1:19" hidden="1" x14ac:dyDescent="0.3">
      <c r="A723">
        <v>722</v>
      </c>
      <c r="B723" s="1">
        <v>44223</v>
      </c>
      <c r="C723">
        <v>95</v>
      </c>
      <c r="D723" t="s">
        <v>31</v>
      </c>
      <c r="E723" t="s">
        <v>104</v>
      </c>
      <c r="F723">
        <v>23</v>
      </c>
      <c r="G723" s="2">
        <v>108</v>
      </c>
      <c r="H723" s="2">
        <v>2484</v>
      </c>
      <c r="I723" s="1">
        <v>0.01</v>
      </c>
      <c r="J723" s="2">
        <v>2459.16</v>
      </c>
      <c r="K723" s="1">
        <v>44244</v>
      </c>
      <c r="L723" s="1">
        <v>44244</v>
      </c>
      <c r="M723">
        <v>722</v>
      </c>
      <c r="N723">
        <v>2</v>
      </c>
      <c r="O723" t="s">
        <v>27</v>
      </c>
      <c r="P723" s="3">
        <v>0.05</v>
      </c>
      <c r="Q723" s="2">
        <v>122.958</v>
      </c>
      <c r="R723">
        <v>1</v>
      </c>
      <c r="S723" t="str">
        <f t="shared" si="11"/>
        <v>Janeiro</v>
      </c>
    </row>
    <row r="724" spans="1:19" hidden="1" x14ac:dyDescent="0.3">
      <c r="A724">
        <v>723</v>
      </c>
      <c r="B724" s="1">
        <v>44224</v>
      </c>
      <c r="C724">
        <v>81</v>
      </c>
      <c r="D724" t="s">
        <v>90</v>
      </c>
      <c r="E724" t="s">
        <v>98</v>
      </c>
      <c r="F724">
        <v>11</v>
      </c>
      <c r="G724" s="2">
        <v>91</v>
      </c>
      <c r="H724" s="2">
        <v>1001</v>
      </c>
      <c r="I724" s="1">
        <v>0.04</v>
      </c>
      <c r="J724" s="2">
        <v>960.96</v>
      </c>
      <c r="K724" s="1">
        <v>44250</v>
      </c>
      <c r="L724" s="1">
        <v>44250</v>
      </c>
      <c r="M724">
        <v>723</v>
      </c>
      <c r="N724">
        <v>3</v>
      </c>
      <c r="O724" t="s">
        <v>42</v>
      </c>
      <c r="P724" s="3">
        <v>0.08</v>
      </c>
      <c r="Q724" s="2">
        <v>76.876800000000003</v>
      </c>
      <c r="R724">
        <v>2</v>
      </c>
      <c r="S724" t="str">
        <f t="shared" si="11"/>
        <v>Janeiro</v>
      </c>
    </row>
    <row r="725" spans="1:19" hidden="1" x14ac:dyDescent="0.3">
      <c r="A725">
        <v>724</v>
      </c>
      <c r="B725" s="1">
        <v>44226</v>
      </c>
      <c r="C725">
        <v>84</v>
      </c>
      <c r="D725" t="s">
        <v>36</v>
      </c>
      <c r="E725" t="s">
        <v>98</v>
      </c>
      <c r="F725">
        <v>16</v>
      </c>
      <c r="G725" s="2">
        <v>119</v>
      </c>
      <c r="H725" s="2">
        <v>1904</v>
      </c>
      <c r="I725" s="1">
        <v>0.08</v>
      </c>
      <c r="J725" s="2">
        <v>1751.68</v>
      </c>
      <c r="K725" s="1">
        <v>44253</v>
      </c>
      <c r="L725" s="1">
        <v>44253</v>
      </c>
      <c r="M725">
        <v>724</v>
      </c>
      <c r="N725">
        <v>3</v>
      </c>
      <c r="O725" t="s">
        <v>23</v>
      </c>
      <c r="P725" s="3">
        <v>0.06</v>
      </c>
      <c r="Q725" s="2">
        <v>105.10080000000001</v>
      </c>
      <c r="R725">
        <v>3</v>
      </c>
      <c r="S725" t="str">
        <f t="shared" si="11"/>
        <v>Janeiro</v>
      </c>
    </row>
    <row r="726" spans="1:19" hidden="1" x14ac:dyDescent="0.3">
      <c r="A726">
        <v>725</v>
      </c>
      <c r="B726" s="1">
        <v>44226</v>
      </c>
      <c r="C726">
        <v>96</v>
      </c>
      <c r="D726" t="s">
        <v>34</v>
      </c>
      <c r="E726" t="s">
        <v>104</v>
      </c>
      <c r="F726">
        <v>13</v>
      </c>
      <c r="G726" s="2">
        <v>107</v>
      </c>
      <c r="H726" s="2">
        <v>1391</v>
      </c>
      <c r="I726" s="1">
        <v>0.14000000000000001</v>
      </c>
      <c r="J726" s="2">
        <v>1196.26</v>
      </c>
      <c r="K726" s="1">
        <v>44230</v>
      </c>
      <c r="L726" s="1">
        <v>44230</v>
      </c>
      <c r="M726">
        <v>725</v>
      </c>
      <c r="N726">
        <v>7</v>
      </c>
      <c r="O726" t="s">
        <v>30</v>
      </c>
      <c r="P726" s="3">
        <v>0.09</v>
      </c>
      <c r="Q726" s="2">
        <v>107.6634</v>
      </c>
      <c r="R726">
        <v>4</v>
      </c>
      <c r="S726" t="str">
        <f t="shared" si="11"/>
        <v>Janeiro</v>
      </c>
    </row>
    <row r="727" spans="1:19" hidden="1" x14ac:dyDescent="0.3">
      <c r="A727">
        <v>726</v>
      </c>
      <c r="B727" s="1">
        <v>44228</v>
      </c>
      <c r="C727">
        <v>18</v>
      </c>
      <c r="D727" t="s">
        <v>70</v>
      </c>
      <c r="E727" t="s">
        <v>104</v>
      </c>
      <c r="F727">
        <v>43</v>
      </c>
      <c r="G727" s="2">
        <v>90</v>
      </c>
      <c r="H727" s="2">
        <v>3870</v>
      </c>
      <c r="I727" s="1">
        <v>0.06</v>
      </c>
      <c r="J727" s="2">
        <v>3637.8</v>
      </c>
      <c r="K727" s="1">
        <v>44253</v>
      </c>
      <c r="L727" s="1">
        <v>44253</v>
      </c>
      <c r="M727">
        <v>726</v>
      </c>
      <c r="N727">
        <v>3</v>
      </c>
      <c r="O727" t="s">
        <v>38</v>
      </c>
      <c r="P727" s="3">
        <v>0.08</v>
      </c>
      <c r="Q727" s="2">
        <v>291.024</v>
      </c>
      <c r="R727">
        <v>5</v>
      </c>
      <c r="S727" t="str">
        <f t="shared" si="11"/>
        <v>Fevereiro</v>
      </c>
    </row>
    <row r="728" spans="1:19" hidden="1" x14ac:dyDescent="0.3">
      <c r="A728">
        <v>727</v>
      </c>
      <c r="B728" s="1">
        <v>44228</v>
      </c>
      <c r="C728">
        <v>6</v>
      </c>
      <c r="D728" t="s">
        <v>75</v>
      </c>
      <c r="E728" t="s">
        <v>102</v>
      </c>
      <c r="F728">
        <v>27</v>
      </c>
      <c r="G728" s="2">
        <v>97</v>
      </c>
      <c r="H728" s="2">
        <v>2619</v>
      </c>
      <c r="I728" s="1">
        <v>0.02</v>
      </c>
      <c r="J728" s="2">
        <v>2566.62</v>
      </c>
      <c r="K728" s="1">
        <v>44256</v>
      </c>
      <c r="L728" s="1">
        <v>44256</v>
      </c>
      <c r="M728">
        <v>727</v>
      </c>
      <c r="N728">
        <v>6</v>
      </c>
      <c r="O728" t="s">
        <v>42</v>
      </c>
      <c r="P728" s="3">
        <v>0.08</v>
      </c>
      <c r="Q728" s="2">
        <v>205.3296</v>
      </c>
      <c r="R728">
        <v>6</v>
      </c>
      <c r="S728" t="str">
        <f t="shared" si="11"/>
        <v>Fevereiro</v>
      </c>
    </row>
    <row r="729" spans="1:19" hidden="1" x14ac:dyDescent="0.3">
      <c r="A729">
        <v>728</v>
      </c>
      <c r="B729" s="1">
        <v>44228</v>
      </c>
      <c r="C729">
        <v>76</v>
      </c>
      <c r="D729" t="s">
        <v>91</v>
      </c>
      <c r="E729" t="s">
        <v>97</v>
      </c>
      <c r="F729">
        <v>34</v>
      </c>
      <c r="G729" s="2">
        <v>120</v>
      </c>
      <c r="H729" s="2">
        <v>4080</v>
      </c>
      <c r="I729" s="1">
        <v>0.02</v>
      </c>
      <c r="J729" s="2">
        <v>3998.4</v>
      </c>
      <c r="K729" s="1">
        <v>44231</v>
      </c>
      <c r="L729" s="1">
        <v>44231</v>
      </c>
      <c r="M729">
        <v>728</v>
      </c>
      <c r="N729">
        <v>7</v>
      </c>
      <c r="O729" t="s">
        <v>27</v>
      </c>
      <c r="P729" s="3">
        <v>0.09</v>
      </c>
      <c r="Q729" s="2">
        <v>359.85599999999999</v>
      </c>
      <c r="R729">
        <v>7</v>
      </c>
      <c r="S729" t="str">
        <f t="shared" si="11"/>
        <v>Fevereiro</v>
      </c>
    </row>
    <row r="730" spans="1:19" hidden="1" x14ac:dyDescent="0.3">
      <c r="A730">
        <v>729</v>
      </c>
      <c r="B730" s="1">
        <v>44230</v>
      </c>
      <c r="C730">
        <v>32</v>
      </c>
      <c r="D730" t="s">
        <v>64</v>
      </c>
      <c r="E730" t="s">
        <v>96</v>
      </c>
      <c r="F730">
        <v>46</v>
      </c>
      <c r="G730" s="2">
        <v>93</v>
      </c>
      <c r="H730" s="2">
        <v>4278</v>
      </c>
      <c r="I730" s="1">
        <v>0</v>
      </c>
      <c r="J730" s="2">
        <v>4278</v>
      </c>
      <c r="K730" s="1">
        <v>44255</v>
      </c>
      <c r="L730" s="1">
        <v>44255</v>
      </c>
      <c r="M730">
        <v>729</v>
      </c>
      <c r="N730">
        <v>6</v>
      </c>
      <c r="O730" t="s">
        <v>18</v>
      </c>
      <c r="P730" s="3">
        <v>0.09</v>
      </c>
      <c r="Q730" s="2">
        <v>385.02</v>
      </c>
      <c r="R730">
        <v>1</v>
      </c>
      <c r="S730" t="str">
        <f t="shared" si="11"/>
        <v>Fevereiro</v>
      </c>
    </row>
    <row r="731" spans="1:19" hidden="1" x14ac:dyDescent="0.3">
      <c r="A731">
        <v>730</v>
      </c>
      <c r="B731" s="1">
        <v>44230</v>
      </c>
      <c r="C731">
        <v>5</v>
      </c>
      <c r="D731" t="s">
        <v>31</v>
      </c>
      <c r="E731" t="s">
        <v>97</v>
      </c>
      <c r="F731">
        <v>45</v>
      </c>
      <c r="G731" s="2">
        <v>91</v>
      </c>
      <c r="H731" s="2">
        <v>4095</v>
      </c>
      <c r="I731" s="1">
        <v>0.03</v>
      </c>
      <c r="J731" s="2">
        <v>3972.15</v>
      </c>
      <c r="K731" s="1">
        <v>44253</v>
      </c>
      <c r="L731" s="1">
        <v>44253</v>
      </c>
      <c r="M731">
        <v>730</v>
      </c>
      <c r="N731">
        <v>5</v>
      </c>
      <c r="O731" t="s">
        <v>56</v>
      </c>
      <c r="P731" s="3">
        <v>7.0000000000000007E-2</v>
      </c>
      <c r="Q731" s="2">
        <v>278.05050000000006</v>
      </c>
      <c r="R731">
        <v>2</v>
      </c>
      <c r="S731" t="str">
        <f t="shared" si="11"/>
        <v>Fevereiro</v>
      </c>
    </row>
    <row r="732" spans="1:19" hidden="1" x14ac:dyDescent="0.3">
      <c r="A732">
        <v>731</v>
      </c>
      <c r="B732" s="1">
        <v>44232</v>
      </c>
      <c r="C732">
        <v>31</v>
      </c>
      <c r="D732" t="s">
        <v>72</v>
      </c>
      <c r="E732" t="s">
        <v>100</v>
      </c>
      <c r="F732">
        <v>50</v>
      </c>
      <c r="G732" s="2">
        <v>104</v>
      </c>
      <c r="H732" s="2">
        <v>5200</v>
      </c>
      <c r="I732" s="1">
        <v>0.15</v>
      </c>
      <c r="J732" s="2">
        <v>4420</v>
      </c>
      <c r="K732" s="1">
        <v>44252</v>
      </c>
      <c r="L732" s="1">
        <v>44252</v>
      </c>
      <c r="M732">
        <v>731</v>
      </c>
      <c r="N732">
        <v>7</v>
      </c>
      <c r="O732" t="s">
        <v>38</v>
      </c>
      <c r="P732" s="3">
        <v>0.06</v>
      </c>
      <c r="Q732" s="2">
        <v>265.2</v>
      </c>
      <c r="R732">
        <v>3</v>
      </c>
      <c r="S732" t="str">
        <f t="shared" si="11"/>
        <v>Fevereiro</v>
      </c>
    </row>
    <row r="733" spans="1:19" hidden="1" x14ac:dyDescent="0.3">
      <c r="A733">
        <v>732</v>
      </c>
      <c r="B733" s="1">
        <v>44232</v>
      </c>
      <c r="C733">
        <v>72</v>
      </c>
      <c r="D733" t="s">
        <v>31</v>
      </c>
      <c r="E733" t="s">
        <v>104</v>
      </c>
      <c r="F733">
        <v>32</v>
      </c>
      <c r="G733" s="2">
        <v>99</v>
      </c>
      <c r="H733" s="2">
        <v>3168</v>
      </c>
      <c r="I733" s="1">
        <v>7.0000000000000007E-2</v>
      </c>
      <c r="J733" s="2">
        <v>2946.24</v>
      </c>
      <c r="K733" s="1">
        <v>44249</v>
      </c>
      <c r="L733" s="1">
        <v>44249</v>
      </c>
      <c r="M733">
        <v>732</v>
      </c>
      <c r="N733">
        <v>5</v>
      </c>
      <c r="O733" t="s">
        <v>20</v>
      </c>
      <c r="P733" s="3">
        <v>7.0000000000000007E-2</v>
      </c>
      <c r="Q733" s="2">
        <v>206.23680000000002</v>
      </c>
      <c r="R733">
        <v>4</v>
      </c>
      <c r="S733" t="str">
        <f t="shared" si="11"/>
        <v>Fevereiro</v>
      </c>
    </row>
    <row r="734" spans="1:19" x14ac:dyDescent="0.3">
      <c r="A734">
        <v>733</v>
      </c>
      <c r="B734" s="1">
        <v>44232</v>
      </c>
      <c r="C734">
        <v>55</v>
      </c>
      <c r="D734" t="s">
        <v>36</v>
      </c>
      <c r="E734" t="s">
        <v>99</v>
      </c>
      <c r="F734">
        <v>19</v>
      </c>
      <c r="G734" s="2">
        <v>111</v>
      </c>
      <c r="H734" s="2">
        <v>2109</v>
      </c>
      <c r="I734" s="1">
        <v>0.02</v>
      </c>
      <c r="J734" s="2">
        <v>2066.8200000000002</v>
      </c>
      <c r="K734" s="1">
        <v>44248</v>
      </c>
      <c r="L734" s="1">
        <v>44248</v>
      </c>
      <c r="M734">
        <v>733</v>
      </c>
      <c r="N734">
        <v>4</v>
      </c>
      <c r="O734" t="s">
        <v>35</v>
      </c>
      <c r="P734" s="3">
        <v>0.06</v>
      </c>
      <c r="Q734" s="2">
        <v>124.00920000000001</v>
      </c>
      <c r="R734">
        <v>5</v>
      </c>
      <c r="S734" t="str">
        <f t="shared" si="11"/>
        <v>Fevereiro</v>
      </c>
    </row>
    <row r="735" spans="1:19" hidden="1" x14ac:dyDescent="0.3">
      <c r="A735">
        <v>734</v>
      </c>
      <c r="B735" s="1">
        <v>44232</v>
      </c>
      <c r="C735">
        <v>7</v>
      </c>
      <c r="D735" t="s">
        <v>89</v>
      </c>
      <c r="E735" t="s">
        <v>99</v>
      </c>
      <c r="F735">
        <v>25</v>
      </c>
      <c r="G735" s="2">
        <v>107</v>
      </c>
      <c r="H735" s="2">
        <v>2675</v>
      </c>
      <c r="I735" s="1">
        <v>0.02</v>
      </c>
      <c r="J735" s="2">
        <v>2621.5</v>
      </c>
      <c r="K735" s="1">
        <v>44259</v>
      </c>
      <c r="L735" s="1">
        <v>44259</v>
      </c>
      <c r="M735">
        <v>734</v>
      </c>
      <c r="N735">
        <v>6</v>
      </c>
      <c r="O735" t="s">
        <v>38</v>
      </c>
      <c r="P735" s="3">
        <v>0.06</v>
      </c>
      <c r="Q735" s="2">
        <v>157.29</v>
      </c>
      <c r="R735">
        <v>6</v>
      </c>
      <c r="S735" t="str">
        <f t="shared" si="11"/>
        <v>Fevereiro</v>
      </c>
    </row>
    <row r="736" spans="1:19" hidden="1" x14ac:dyDescent="0.3">
      <c r="A736">
        <v>735</v>
      </c>
      <c r="B736" s="1">
        <v>44233</v>
      </c>
      <c r="C736">
        <v>19</v>
      </c>
      <c r="D736" t="s">
        <v>31</v>
      </c>
      <c r="E736" t="s">
        <v>99</v>
      </c>
      <c r="F736">
        <v>20</v>
      </c>
      <c r="G736" s="2">
        <v>107</v>
      </c>
      <c r="H736" s="2">
        <v>2140</v>
      </c>
      <c r="I736" s="1">
        <v>0.05</v>
      </c>
      <c r="J736" s="2">
        <v>2033</v>
      </c>
      <c r="K736" s="1">
        <v>44241</v>
      </c>
      <c r="L736" s="1">
        <v>44241</v>
      </c>
      <c r="M736">
        <v>735</v>
      </c>
      <c r="N736">
        <v>2</v>
      </c>
      <c r="O736" t="s">
        <v>18</v>
      </c>
      <c r="P736" s="3">
        <v>0.09</v>
      </c>
      <c r="Q736" s="2">
        <v>182.97</v>
      </c>
      <c r="R736">
        <v>7</v>
      </c>
      <c r="S736" t="str">
        <f t="shared" si="11"/>
        <v>Fevereiro</v>
      </c>
    </row>
    <row r="737" spans="1:19" hidden="1" x14ac:dyDescent="0.3">
      <c r="A737">
        <v>736</v>
      </c>
      <c r="B737" s="1">
        <v>44233</v>
      </c>
      <c r="C737">
        <v>7</v>
      </c>
      <c r="D737" t="s">
        <v>89</v>
      </c>
      <c r="E737" t="s">
        <v>95</v>
      </c>
      <c r="F737">
        <v>27</v>
      </c>
      <c r="G737" s="2">
        <v>112</v>
      </c>
      <c r="H737" s="2">
        <v>3024</v>
      </c>
      <c r="I737" s="1">
        <v>0.04</v>
      </c>
      <c r="J737" s="2">
        <v>2903.04</v>
      </c>
      <c r="K737" s="1">
        <v>44233</v>
      </c>
      <c r="L737" s="1">
        <v>44233</v>
      </c>
      <c r="M737">
        <v>736</v>
      </c>
      <c r="N737">
        <v>1</v>
      </c>
      <c r="O737" t="s">
        <v>42</v>
      </c>
      <c r="P737" s="3">
        <v>0.09</v>
      </c>
      <c r="Q737" s="2">
        <v>261.27359999999999</v>
      </c>
      <c r="R737">
        <v>1</v>
      </c>
      <c r="S737" t="str">
        <f t="shared" si="11"/>
        <v>Fevereiro</v>
      </c>
    </row>
    <row r="738" spans="1:19" hidden="1" x14ac:dyDescent="0.3">
      <c r="A738">
        <v>737</v>
      </c>
      <c r="B738" s="1">
        <v>44233</v>
      </c>
      <c r="C738">
        <v>47</v>
      </c>
      <c r="D738" t="s">
        <v>33</v>
      </c>
      <c r="E738" t="s">
        <v>101</v>
      </c>
      <c r="F738">
        <v>28</v>
      </c>
      <c r="G738" s="2">
        <v>113</v>
      </c>
      <c r="H738" s="2">
        <v>3164</v>
      </c>
      <c r="I738" s="1">
        <v>0.04</v>
      </c>
      <c r="J738" s="2">
        <v>3037.44</v>
      </c>
      <c r="K738" s="1">
        <v>44233</v>
      </c>
      <c r="L738" s="1">
        <v>44233</v>
      </c>
      <c r="M738">
        <v>737</v>
      </c>
      <c r="N738">
        <v>6</v>
      </c>
      <c r="O738" t="s">
        <v>30</v>
      </c>
      <c r="P738" s="3">
        <v>0.09</v>
      </c>
      <c r="Q738" s="2">
        <v>273.36959999999999</v>
      </c>
      <c r="R738">
        <v>2</v>
      </c>
      <c r="S738" t="str">
        <f t="shared" si="11"/>
        <v>Fevereiro</v>
      </c>
    </row>
    <row r="739" spans="1:19" hidden="1" x14ac:dyDescent="0.3">
      <c r="A739">
        <v>738</v>
      </c>
      <c r="B739" s="1">
        <v>44233</v>
      </c>
      <c r="C739">
        <v>48</v>
      </c>
      <c r="D739" t="s">
        <v>48</v>
      </c>
      <c r="E739" t="s">
        <v>101</v>
      </c>
      <c r="F739">
        <v>33</v>
      </c>
      <c r="G739" s="2">
        <v>110</v>
      </c>
      <c r="H739" s="2">
        <v>3630</v>
      </c>
      <c r="I739" s="1">
        <v>0</v>
      </c>
      <c r="J739" s="2">
        <v>3630</v>
      </c>
      <c r="K739" s="1">
        <v>44255</v>
      </c>
      <c r="L739" s="1">
        <v>44255</v>
      </c>
      <c r="M739">
        <v>738</v>
      </c>
      <c r="N739">
        <v>4</v>
      </c>
      <c r="O739" t="s">
        <v>56</v>
      </c>
      <c r="P739" s="3">
        <v>7.0000000000000007E-2</v>
      </c>
      <c r="Q739" s="2">
        <v>254.10000000000002</v>
      </c>
      <c r="R739">
        <v>3</v>
      </c>
      <c r="S739" t="str">
        <f t="shared" si="11"/>
        <v>Fevereiro</v>
      </c>
    </row>
    <row r="740" spans="1:19" hidden="1" x14ac:dyDescent="0.3">
      <c r="A740">
        <v>739</v>
      </c>
      <c r="B740" s="1">
        <v>44234</v>
      </c>
      <c r="C740">
        <v>37</v>
      </c>
      <c r="D740" t="s">
        <v>39</v>
      </c>
      <c r="E740" t="s">
        <v>95</v>
      </c>
      <c r="F740">
        <v>16</v>
      </c>
      <c r="G740" s="2">
        <v>92</v>
      </c>
      <c r="H740" s="2">
        <v>1472</v>
      </c>
      <c r="I740" s="1">
        <v>0.14000000000000001</v>
      </c>
      <c r="J740" s="2">
        <v>1265.92</v>
      </c>
      <c r="K740" s="1">
        <v>44235</v>
      </c>
      <c r="L740" s="1">
        <v>44235</v>
      </c>
      <c r="M740">
        <v>739</v>
      </c>
      <c r="N740">
        <v>7</v>
      </c>
      <c r="O740" t="s">
        <v>30</v>
      </c>
      <c r="P740" s="3">
        <v>0.08</v>
      </c>
      <c r="Q740" s="2">
        <v>101.2736</v>
      </c>
      <c r="R740">
        <v>4</v>
      </c>
      <c r="S740" t="str">
        <f t="shared" si="11"/>
        <v>Fevereiro</v>
      </c>
    </row>
    <row r="741" spans="1:19" hidden="1" x14ac:dyDescent="0.3">
      <c r="A741">
        <v>740</v>
      </c>
      <c r="B741" s="1">
        <v>44235</v>
      </c>
      <c r="C741">
        <v>65</v>
      </c>
      <c r="D741" t="s">
        <v>51</v>
      </c>
      <c r="E741" t="s">
        <v>99</v>
      </c>
      <c r="F741">
        <v>15</v>
      </c>
      <c r="G741" s="2">
        <v>99</v>
      </c>
      <c r="H741" s="2">
        <v>1485</v>
      </c>
      <c r="I741" s="1">
        <v>0.12</v>
      </c>
      <c r="J741" s="2">
        <v>1306.8</v>
      </c>
      <c r="K741" s="1">
        <v>44250</v>
      </c>
      <c r="L741" s="1">
        <v>44250</v>
      </c>
      <c r="M741">
        <v>740</v>
      </c>
      <c r="N741">
        <v>4</v>
      </c>
      <c r="O741" t="s">
        <v>27</v>
      </c>
      <c r="P741" s="3">
        <v>0.06</v>
      </c>
      <c r="Q741" s="2">
        <v>78.408000000000001</v>
      </c>
      <c r="R741">
        <v>5</v>
      </c>
      <c r="S741" t="str">
        <f t="shared" si="11"/>
        <v>Fevereiro</v>
      </c>
    </row>
    <row r="742" spans="1:19" hidden="1" x14ac:dyDescent="0.3">
      <c r="A742">
        <v>741</v>
      </c>
      <c r="B742" s="1">
        <v>44236</v>
      </c>
      <c r="C742">
        <v>7</v>
      </c>
      <c r="D742" t="s">
        <v>89</v>
      </c>
      <c r="E742" t="s">
        <v>97</v>
      </c>
      <c r="F742">
        <v>44</v>
      </c>
      <c r="G742" s="2">
        <v>101</v>
      </c>
      <c r="H742" s="2">
        <v>4444</v>
      </c>
      <c r="I742" s="1">
        <v>0.08</v>
      </c>
      <c r="J742" s="2">
        <v>4088.48</v>
      </c>
      <c r="K742" s="1">
        <v>44263</v>
      </c>
      <c r="L742" s="1">
        <v>44263</v>
      </c>
      <c r="M742">
        <v>741</v>
      </c>
      <c r="N742">
        <v>1</v>
      </c>
      <c r="O742" t="s">
        <v>18</v>
      </c>
      <c r="P742" s="3">
        <v>0.06</v>
      </c>
      <c r="Q742" s="2">
        <v>245.30879999999999</v>
      </c>
      <c r="R742">
        <v>6</v>
      </c>
      <c r="S742" t="str">
        <f t="shared" si="11"/>
        <v>Fevereiro</v>
      </c>
    </row>
    <row r="743" spans="1:19" hidden="1" x14ac:dyDescent="0.3">
      <c r="A743">
        <v>742</v>
      </c>
      <c r="B743" s="1">
        <v>44236</v>
      </c>
      <c r="C743">
        <v>28</v>
      </c>
      <c r="D743" t="s">
        <v>73</v>
      </c>
      <c r="E743" t="s">
        <v>96</v>
      </c>
      <c r="F743">
        <v>30</v>
      </c>
      <c r="G743" s="2">
        <v>119</v>
      </c>
      <c r="H743" s="2">
        <v>3570</v>
      </c>
      <c r="I743" s="1">
        <v>0.15</v>
      </c>
      <c r="J743" s="2">
        <v>3034.5</v>
      </c>
      <c r="K743" s="1">
        <v>44265</v>
      </c>
      <c r="L743" s="1">
        <v>44265</v>
      </c>
      <c r="M743">
        <v>742</v>
      </c>
      <c r="N743">
        <v>4</v>
      </c>
      <c r="O743" t="s">
        <v>23</v>
      </c>
      <c r="P743" s="3">
        <v>7.0000000000000007E-2</v>
      </c>
      <c r="Q743" s="2">
        <v>212.41500000000002</v>
      </c>
      <c r="R743">
        <v>7</v>
      </c>
      <c r="S743" t="str">
        <f t="shared" si="11"/>
        <v>Fevereiro</v>
      </c>
    </row>
    <row r="744" spans="1:19" hidden="1" x14ac:dyDescent="0.3">
      <c r="A744">
        <v>743</v>
      </c>
      <c r="B744" s="1">
        <v>44237</v>
      </c>
      <c r="C744">
        <v>23</v>
      </c>
      <c r="D744" t="s">
        <v>92</v>
      </c>
      <c r="E744" t="s">
        <v>97</v>
      </c>
      <c r="F744">
        <v>19</v>
      </c>
      <c r="G744" s="2">
        <v>98</v>
      </c>
      <c r="H744" s="2">
        <v>1862</v>
      </c>
      <c r="I744" s="1">
        <v>0</v>
      </c>
      <c r="J744" s="2">
        <v>1862</v>
      </c>
      <c r="K744" s="1">
        <v>44249</v>
      </c>
      <c r="L744" s="1">
        <v>44249</v>
      </c>
      <c r="M744">
        <v>743</v>
      </c>
      <c r="N744">
        <v>5</v>
      </c>
      <c r="O744" t="s">
        <v>30</v>
      </c>
      <c r="P744" s="3">
        <v>7.0000000000000007E-2</v>
      </c>
      <c r="Q744" s="2">
        <v>130.34</v>
      </c>
      <c r="R744">
        <v>1</v>
      </c>
      <c r="S744" t="str">
        <f t="shared" si="11"/>
        <v>Fevereiro</v>
      </c>
    </row>
    <row r="745" spans="1:19" hidden="1" x14ac:dyDescent="0.3">
      <c r="A745">
        <v>744</v>
      </c>
      <c r="B745" s="1">
        <v>44239</v>
      </c>
      <c r="C745">
        <v>29</v>
      </c>
      <c r="D745" t="s">
        <v>85</v>
      </c>
      <c r="E745" t="s">
        <v>99</v>
      </c>
      <c r="F745">
        <v>49</v>
      </c>
      <c r="G745" s="2">
        <v>92</v>
      </c>
      <c r="H745" s="2">
        <v>4508</v>
      </c>
      <c r="I745" s="1">
        <v>0.02</v>
      </c>
      <c r="J745" s="2">
        <v>4417.84</v>
      </c>
      <c r="K745" s="1">
        <v>44239</v>
      </c>
      <c r="L745" s="1">
        <v>44239</v>
      </c>
      <c r="M745">
        <v>744</v>
      </c>
      <c r="N745">
        <v>5</v>
      </c>
      <c r="O745" t="s">
        <v>27</v>
      </c>
      <c r="P745" s="3">
        <v>0.08</v>
      </c>
      <c r="Q745" s="2">
        <v>353.42720000000003</v>
      </c>
      <c r="R745">
        <v>2</v>
      </c>
      <c r="S745" t="str">
        <f t="shared" si="11"/>
        <v>Fevereiro</v>
      </c>
    </row>
    <row r="746" spans="1:19" hidden="1" x14ac:dyDescent="0.3">
      <c r="A746">
        <v>745</v>
      </c>
      <c r="B746" s="1">
        <v>44240</v>
      </c>
      <c r="C746">
        <v>42</v>
      </c>
      <c r="D746" t="s">
        <v>79</v>
      </c>
      <c r="E746" t="s">
        <v>98</v>
      </c>
      <c r="F746">
        <v>19</v>
      </c>
      <c r="G746" s="2">
        <v>92</v>
      </c>
      <c r="H746" s="2">
        <v>1748</v>
      </c>
      <c r="I746" s="1">
        <v>0.03</v>
      </c>
      <c r="J746" s="2">
        <v>1695.56</v>
      </c>
      <c r="K746" s="1">
        <v>44258</v>
      </c>
      <c r="L746" s="1">
        <v>44258</v>
      </c>
      <c r="M746">
        <v>745</v>
      </c>
      <c r="N746">
        <v>5</v>
      </c>
      <c r="O746" t="s">
        <v>18</v>
      </c>
      <c r="P746" s="3">
        <v>7.0000000000000007E-2</v>
      </c>
      <c r="Q746" s="2">
        <v>118.68920000000001</v>
      </c>
      <c r="R746">
        <v>3</v>
      </c>
      <c r="S746" t="str">
        <f t="shared" si="11"/>
        <v>Fevereiro</v>
      </c>
    </row>
    <row r="747" spans="1:19" hidden="1" x14ac:dyDescent="0.3">
      <c r="A747">
        <v>746</v>
      </c>
      <c r="B747" s="1">
        <v>44241</v>
      </c>
      <c r="C747">
        <v>16</v>
      </c>
      <c r="D747" t="s">
        <v>22</v>
      </c>
      <c r="E747" t="s">
        <v>98</v>
      </c>
      <c r="F747">
        <v>29</v>
      </c>
      <c r="G747" s="2">
        <v>96</v>
      </c>
      <c r="H747" s="2">
        <v>2784</v>
      </c>
      <c r="I747" s="1">
        <v>7.0000000000000007E-2</v>
      </c>
      <c r="J747" s="2">
        <v>2589.12</v>
      </c>
      <c r="K747" s="1">
        <v>44266</v>
      </c>
      <c r="L747" s="1">
        <v>44266</v>
      </c>
      <c r="M747">
        <v>746</v>
      </c>
      <c r="N747">
        <v>5</v>
      </c>
      <c r="O747" t="s">
        <v>38</v>
      </c>
      <c r="P747" s="3">
        <v>0.08</v>
      </c>
      <c r="Q747" s="2">
        <v>207.12959999999998</v>
      </c>
      <c r="R747">
        <v>4</v>
      </c>
      <c r="S747" t="str">
        <f t="shared" si="11"/>
        <v>Fevereiro</v>
      </c>
    </row>
    <row r="748" spans="1:19" hidden="1" x14ac:dyDescent="0.3">
      <c r="A748">
        <v>747</v>
      </c>
      <c r="B748" s="1">
        <v>44241</v>
      </c>
      <c r="C748">
        <v>74</v>
      </c>
      <c r="D748" t="s">
        <v>31</v>
      </c>
      <c r="E748" t="s">
        <v>102</v>
      </c>
      <c r="F748">
        <v>32</v>
      </c>
      <c r="G748" s="2">
        <v>103</v>
      </c>
      <c r="H748" s="2">
        <v>3296</v>
      </c>
      <c r="I748" s="1">
        <v>0.03</v>
      </c>
      <c r="J748" s="2">
        <v>3197.12</v>
      </c>
      <c r="K748" s="1">
        <v>44243</v>
      </c>
      <c r="L748" s="1">
        <v>44243</v>
      </c>
      <c r="M748">
        <v>747</v>
      </c>
      <c r="N748">
        <v>1</v>
      </c>
      <c r="O748" t="s">
        <v>25</v>
      </c>
      <c r="P748" s="3">
        <v>0.08</v>
      </c>
      <c r="Q748" s="2">
        <v>255.7696</v>
      </c>
      <c r="R748">
        <v>5</v>
      </c>
      <c r="S748" t="str">
        <f t="shared" si="11"/>
        <v>Fevereiro</v>
      </c>
    </row>
    <row r="749" spans="1:19" hidden="1" x14ac:dyDescent="0.3">
      <c r="A749">
        <v>748</v>
      </c>
      <c r="B749" s="1">
        <v>44241</v>
      </c>
      <c r="C749">
        <v>30</v>
      </c>
      <c r="D749" t="s">
        <v>83</v>
      </c>
      <c r="E749" t="s">
        <v>98</v>
      </c>
      <c r="F749">
        <v>38</v>
      </c>
      <c r="G749" s="2">
        <v>117</v>
      </c>
      <c r="H749" s="2">
        <v>4446</v>
      </c>
      <c r="I749" s="1">
        <v>0.14000000000000001</v>
      </c>
      <c r="J749" s="2">
        <v>3823.56</v>
      </c>
      <c r="K749" s="1">
        <v>44252</v>
      </c>
      <c r="L749" s="1">
        <v>44252</v>
      </c>
      <c r="M749">
        <v>748</v>
      </c>
      <c r="N749">
        <v>6</v>
      </c>
      <c r="O749" t="s">
        <v>20</v>
      </c>
      <c r="P749" s="3">
        <v>7.0000000000000007E-2</v>
      </c>
      <c r="Q749" s="2">
        <v>267.64920000000001</v>
      </c>
      <c r="R749">
        <v>6</v>
      </c>
      <c r="S749" t="str">
        <f t="shared" si="11"/>
        <v>Fevereiro</v>
      </c>
    </row>
    <row r="750" spans="1:19" hidden="1" x14ac:dyDescent="0.3">
      <c r="A750">
        <v>749</v>
      </c>
      <c r="B750" s="1">
        <v>44242</v>
      </c>
      <c r="C750">
        <v>94</v>
      </c>
      <c r="D750" t="s">
        <v>40</v>
      </c>
      <c r="E750" t="s">
        <v>97</v>
      </c>
      <c r="F750">
        <v>18</v>
      </c>
      <c r="G750" s="2">
        <v>97</v>
      </c>
      <c r="H750" s="2">
        <v>1746</v>
      </c>
      <c r="I750" s="1">
        <v>0.06</v>
      </c>
      <c r="J750" s="2">
        <v>1641.24</v>
      </c>
      <c r="K750" s="1">
        <v>44272</v>
      </c>
      <c r="L750" s="1">
        <v>44272</v>
      </c>
      <c r="M750">
        <v>749</v>
      </c>
      <c r="N750">
        <v>7</v>
      </c>
      <c r="O750" t="s">
        <v>30</v>
      </c>
      <c r="P750" s="3">
        <v>0.08</v>
      </c>
      <c r="Q750" s="2">
        <v>131.29920000000001</v>
      </c>
      <c r="R750">
        <v>7</v>
      </c>
      <c r="S750" t="str">
        <f t="shared" si="11"/>
        <v>Fevereiro</v>
      </c>
    </row>
    <row r="751" spans="1:19" hidden="1" x14ac:dyDescent="0.3">
      <c r="A751">
        <v>750</v>
      </c>
      <c r="B751" s="1">
        <v>44242</v>
      </c>
      <c r="C751">
        <v>62</v>
      </c>
      <c r="D751" t="s">
        <v>31</v>
      </c>
      <c r="E751" t="s">
        <v>103</v>
      </c>
      <c r="F751">
        <v>47</v>
      </c>
      <c r="G751" s="2">
        <v>90</v>
      </c>
      <c r="H751" s="2">
        <v>4230</v>
      </c>
      <c r="I751" s="1">
        <v>0.06</v>
      </c>
      <c r="J751" s="2">
        <v>3976.2</v>
      </c>
      <c r="K751" s="1">
        <v>44266</v>
      </c>
      <c r="L751" s="1">
        <v>44266</v>
      </c>
      <c r="M751">
        <v>750</v>
      </c>
      <c r="N751">
        <v>7</v>
      </c>
      <c r="O751" t="s">
        <v>56</v>
      </c>
      <c r="P751" s="3">
        <v>0.05</v>
      </c>
      <c r="Q751" s="2">
        <v>198.81</v>
      </c>
      <c r="R751">
        <v>1</v>
      </c>
      <c r="S751" t="str">
        <f t="shared" si="11"/>
        <v>Fevereiro</v>
      </c>
    </row>
    <row r="752" spans="1:19" hidden="1" x14ac:dyDescent="0.3">
      <c r="A752">
        <v>751</v>
      </c>
      <c r="B752" s="1">
        <v>44243</v>
      </c>
      <c r="C752">
        <v>12</v>
      </c>
      <c r="D752" t="s">
        <v>37</v>
      </c>
      <c r="E752" t="s">
        <v>101</v>
      </c>
      <c r="F752">
        <v>49</v>
      </c>
      <c r="G752" s="2">
        <v>117</v>
      </c>
      <c r="H752" s="2">
        <v>5733</v>
      </c>
      <c r="I752" s="1">
        <v>0.04</v>
      </c>
      <c r="J752" s="2">
        <v>5503.68</v>
      </c>
      <c r="K752" s="1">
        <v>44273</v>
      </c>
      <c r="L752" s="1">
        <v>44273</v>
      </c>
      <c r="M752">
        <v>751</v>
      </c>
      <c r="N752">
        <v>1</v>
      </c>
      <c r="O752" t="s">
        <v>25</v>
      </c>
      <c r="P752" s="3">
        <v>0.09</v>
      </c>
      <c r="Q752" s="2">
        <v>495.33120000000002</v>
      </c>
      <c r="R752">
        <v>2</v>
      </c>
      <c r="S752" t="str">
        <f t="shared" si="11"/>
        <v>Fevereiro</v>
      </c>
    </row>
    <row r="753" spans="1:19" hidden="1" x14ac:dyDescent="0.3">
      <c r="A753">
        <v>752</v>
      </c>
      <c r="B753" s="1">
        <v>44244</v>
      </c>
      <c r="C753">
        <v>54</v>
      </c>
      <c r="D753" t="s">
        <v>66</v>
      </c>
      <c r="E753" t="s">
        <v>101</v>
      </c>
      <c r="F753">
        <v>49</v>
      </c>
      <c r="G753" s="2">
        <v>115</v>
      </c>
      <c r="H753" s="2">
        <v>5635</v>
      </c>
      <c r="I753" s="1">
        <v>0.15</v>
      </c>
      <c r="J753" s="2">
        <v>4789.75</v>
      </c>
      <c r="K753" s="1">
        <v>44270</v>
      </c>
      <c r="L753" s="1">
        <v>44270</v>
      </c>
      <c r="M753">
        <v>752</v>
      </c>
      <c r="N753">
        <v>3</v>
      </c>
      <c r="O753" t="s">
        <v>30</v>
      </c>
      <c r="P753" s="3">
        <v>0.08</v>
      </c>
      <c r="Q753" s="2">
        <v>383.18</v>
      </c>
      <c r="R753">
        <v>3</v>
      </c>
      <c r="S753" t="str">
        <f t="shared" si="11"/>
        <v>Fevereiro</v>
      </c>
    </row>
    <row r="754" spans="1:19" hidden="1" x14ac:dyDescent="0.3">
      <c r="A754">
        <v>753</v>
      </c>
      <c r="B754" s="1">
        <v>44245</v>
      </c>
      <c r="C754">
        <v>84</v>
      </c>
      <c r="D754" t="s">
        <v>36</v>
      </c>
      <c r="E754" t="s">
        <v>101</v>
      </c>
      <c r="F754">
        <v>11</v>
      </c>
      <c r="G754" s="2">
        <v>113</v>
      </c>
      <c r="H754" s="2">
        <v>1243</v>
      </c>
      <c r="I754" s="1">
        <v>0.13</v>
      </c>
      <c r="J754" s="2">
        <v>1081.4100000000001</v>
      </c>
      <c r="K754" s="1">
        <v>44265</v>
      </c>
      <c r="L754" s="1">
        <v>44265</v>
      </c>
      <c r="M754">
        <v>753</v>
      </c>
      <c r="N754">
        <v>1</v>
      </c>
      <c r="O754" t="s">
        <v>20</v>
      </c>
      <c r="P754" s="3">
        <v>7.0000000000000007E-2</v>
      </c>
      <c r="Q754" s="2">
        <v>75.698700000000017</v>
      </c>
      <c r="R754">
        <v>4</v>
      </c>
      <c r="S754" t="str">
        <f t="shared" si="11"/>
        <v>Fevereiro</v>
      </c>
    </row>
    <row r="755" spans="1:19" hidden="1" x14ac:dyDescent="0.3">
      <c r="A755">
        <v>754</v>
      </c>
      <c r="B755" s="1">
        <v>44245</v>
      </c>
      <c r="C755">
        <v>79</v>
      </c>
      <c r="D755" t="s">
        <v>26</v>
      </c>
      <c r="E755" t="s">
        <v>95</v>
      </c>
      <c r="F755">
        <v>19</v>
      </c>
      <c r="G755" s="2">
        <v>115</v>
      </c>
      <c r="H755" s="2">
        <v>2185</v>
      </c>
      <c r="I755" s="1">
        <v>7.0000000000000007E-2</v>
      </c>
      <c r="J755" s="2">
        <v>2032.05</v>
      </c>
      <c r="K755" s="1">
        <v>44271</v>
      </c>
      <c r="L755" s="1">
        <v>44271</v>
      </c>
      <c r="M755">
        <v>754</v>
      </c>
      <c r="N755">
        <v>5</v>
      </c>
      <c r="O755" t="s">
        <v>30</v>
      </c>
      <c r="P755" s="3">
        <v>0.05</v>
      </c>
      <c r="Q755" s="2">
        <v>101.60250000000001</v>
      </c>
      <c r="R755">
        <v>5</v>
      </c>
      <c r="S755" t="str">
        <f t="shared" si="11"/>
        <v>Fevereiro</v>
      </c>
    </row>
    <row r="756" spans="1:19" hidden="1" x14ac:dyDescent="0.3">
      <c r="A756">
        <v>755</v>
      </c>
      <c r="B756" s="1">
        <v>44246</v>
      </c>
      <c r="C756">
        <v>93</v>
      </c>
      <c r="D756" t="s">
        <v>26</v>
      </c>
      <c r="E756" t="s">
        <v>99</v>
      </c>
      <c r="F756">
        <v>44</v>
      </c>
      <c r="G756" s="2">
        <v>105</v>
      </c>
      <c r="H756" s="2">
        <v>4620</v>
      </c>
      <c r="I756" s="1">
        <v>0.04</v>
      </c>
      <c r="J756" s="2">
        <v>4435.2</v>
      </c>
      <c r="K756" s="1">
        <v>44269</v>
      </c>
      <c r="L756" s="1">
        <v>44269</v>
      </c>
      <c r="M756">
        <v>755</v>
      </c>
      <c r="N756">
        <v>4</v>
      </c>
      <c r="O756" t="s">
        <v>20</v>
      </c>
      <c r="P756" s="3">
        <v>7.0000000000000007E-2</v>
      </c>
      <c r="Q756" s="2">
        <v>310.464</v>
      </c>
      <c r="R756">
        <v>6</v>
      </c>
      <c r="S756" t="str">
        <f t="shared" si="11"/>
        <v>Fevereiro</v>
      </c>
    </row>
    <row r="757" spans="1:19" hidden="1" x14ac:dyDescent="0.3">
      <c r="A757">
        <v>756</v>
      </c>
      <c r="B757" s="1">
        <v>44246</v>
      </c>
      <c r="C757">
        <v>83</v>
      </c>
      <c r="D757" t="s">
        <v>87</v>
      </c>
      <c r="E757" t="s">
        <v>97</v>
      </c>
      <c r="F757">
        <v>20</v>
      </c>
      <c r="G757" s="2">
        <v>90</v>
      </c>
      <c r="H757" s="2">
        <v>1800</v>
      </c>
      <c r="I757" s="1">
        <v>0</v>
      </c>
      <c r="J757" s="2">
        <v>1800</v>
      </c>
      <c r="K757" s="1">
        <v>44258</v>
      </c>
      <c r="L757" s="1">
        <v>44258</v>
      </c>
      <c r="M757">
        <v>756</v>
      </c>
      <c r="N757">
        <v>6</v>
      </c>
      <c r="O757" t="s">
        <v>30</v>
      </c>
      <c r="P757" s="3">
        <v>0.05</v>
      </c>
      <c r="Q757" s="2">
        <v>90</v>
      </c>
      <c r="R757">
        <v>7</v>
      </c>
      <c r="S757" t="str">
        <f t="shared" si="11"/>
        <v>Fevereiro</v>
      </c>
    </row>
    <row r="758" spans="1:19" hidden="1" x14ac:dyDescent="0.3">
      <c r="A758">
        <v>757</v>
      </c>
      <c r="B758" s="1">
        <v>44246</v>
      </c>
      <c r="C758">
        <v>87</v>
      </c>
      <c r="D758" t="s">
        <v>33</v>
      </c>
      <c r="E758" t="s">
        <v>99</v>
      </c>
      <c r="F758">
        <v>39</v>
      </c>
      <c r="G758" s="2">
        <v>105</v>
      </c>
      <c r="H758" s="2">
        <v>4095</v>
      </c>
      <c r="I758" s="1">
        <v>0.08</v>
      </c>
      <c r="J758" s="2">
        <v>3767.4</v>
      </c>
      <c r="K758" s="1">
        <v>44255</v>
      </c>
      <c r="L758" s="1">
        <v>44255</v>
      </c>
      <c r="M758">
        <v>757</v>
      </c>
      <c r="N758">
        <v>7</v>
      </c>
      <c r="O758" t="s">
        <v>20</v>
      </c>
      <c r="P758" s="3">
        <v>0.08</v>
      </c>
      <c r="Q758" s="2">
        <v>301.392</v>
      </c>
      <c r="R758">
        <v>1</v>
      </c>
      <c r="S758" t="str">
        <f t="shared" si="11"/>
        <v>Fevereiro</v>
      </c>
    </row>
    <row r="759" spans="1:19" hidden="1" x14ac:dyDescent="0.3">
      <c r="A759">
        <v>758</v>
      </c>
      <c r="B759" s="1">
        <v>44246</v>
      </c>
      <c r="C759">
        <v>34</v>
      </c>
      <c r="D759" t="s">
        <v>46</v>
      </c>
      <c r="E759" t="s">
        <v>98</v>
      </c>
      <c r="F759">
        <v>14</v>
      </c>
      <c r="G759" s="2">
        <v>106</v>
      </c>
      <c r="H759" s="2">
        <v>1484</v>
      </c>
      <c r="I759" s="1">
        <v>0.12</v>
      </c>
      <c r="J759" s="2">
        <v>1305.92</v>
      </c>
      <c r="K759" s="1">
        <v>44251</v>
      </c>
      <c r="L759" s="1">
        <v>44251</v>
      </c>
      <c r="M759">
        <v>758</v>
      </c>
      <c r="N759">
        <v>1</v>
      </c>
      <c r="O759" t="s">
        <v>20</v>
      </c>
      <c r="P759" s="3">
        <v>0.1</v>
      </c>
      <c r="Q759" s="2">
        <v>130.59200000000001</v>
      </c>
      <c r="R759">
        <v>2</v>
      </c>
      <c r="S759" t="str">
        <f t="shared" si="11"/>
        <v>Fevereiro</v>
      </c>
    </row>
    <row r="760" spans="1:19" hidden="1" x14ac:dyDescent="0.3">
      <c r="A760">
        <v>759</v>
      </c>
      <c r="B760" s="1">
        <v>44247</v>
      </c>
      <c r="C760">
        <v>94</v>
      </c>
      <c r="D760" t="s">
        <v>40</v>
      </c>
      <c r="E760" t="s">
        <v>95</v>
      </c>
      <c r="F760">
        <v>12</v>
      </c>
      <c r="G760" s="2">
        <v>90</v>
      </c>
      <c r="H760" s="2">
        <v>1080</v>
      </c>
      <c r="I760" s="1">
        <v>0.05</v>
      </c>
      <c r="J760" s="2">
        <v>1026</v>
      </c>
      <c r="K760" s="1">
        <v>44256</v>
      </c>
      <c r="L760" s="1">
        <v>44256</v>
      </c>
      <c r="M760">
        <v>759</v>
      </c>
      <c r="N760">
        <v>7</v>
      </c>
      <c r="O760" t="s">
        <v>56</v>
      </c>
      <c r="P760" s="3">
        <v>0.08</v>
      </c>
      <c r="Q760" s="2">
        <v>82.08</v>
      </c>
      <c r="R760">
        <v>3</v>
      </c>
      <c r="S760" t="str">
        <f t="shared" si="11"/>
        <v>Fevereiro</v>
      </c>
    </row>
    <row r="761" spans="1:19" x14ac:dyDescent="0.3">
      <c r="A761">
        <v>760</v>
      </c>
      <c r="B761" s="1">
        <v>44247</v>
      </c>
      <c r="C761">
        <v>84</v>
      </c>
      <c r="D761" t="s">
        <v>36</v>
      </c>
      <c r="E761" t="s">
        <v>98</v>
      </c>
      <c r="F761">
        <v>27</v>
      </c>
      <c r="G761" s="2">
        <v>100</v>
      </c>
      <c r="H761" s="2">
        <v>2700</v>
      </c>
      <c r="I761" s="1">
        <v>0.11</v>
      </c>
      <c r="J761" s="2">
        <v>2403</v>
      </c>
      <c r="K761" s="1">
        <v>44261</v>
      </c>
      <c r="L761" s="1">
        <v>44261</v>
      </c>
      <c r="M761">
        <v>760</v>
      </c>
      <c r="N761">
        <v>3</v>
      </c>
      <c r="O761" t="s">
        <v>35</v>
      </c>
      <c r="P761" s="3">
        <v>7.0000000000000007E-2</v>
      </c>
      <c r="Q761" s="2">
        <v>168.21</v>
      </c>
      <c r="R761">
        <v>4</v>
      </c>
      <c r="S761" t="str">
        <f t="shared" si="11"/>
        <v>Fevereiro</v>
      </c>
    </row>
    <row r="762" spans="1:19" hidden="1" x14ac:dyDescent="0.3">
      <c r="A762">
        <v>761</v>
      </c>
      <c r="B762" s="1">
        <v>44248</v>
      </c>
      <c r="C762">
        <v>74</v>
      </c>
      <c r="D762" t="s">
        <v>31</v>
      </c>
      <c r="E762" t="s">
        <v>97</v>
      </c>
      <c r="F762">
        <v>27</v>
      </c>
      <c r="G762" s="2">
        <v>90</v>
      </c>
      <c r="H762" s="2">
        <v>2430</v>
      </c>
      <c r="I762" s="1">
        <v>0.14000000000000001</v>
      </c>
      <c r="J762" s="2">
        <v>2089.8000000000002</v>
      </c>
      <c r="K762" s="1">
        <v>44248</v>
      </c>
      <c r="L762" s="1">
        <v>44248</v>
      </c>
      <c r="M762">
        <v>761</v>
      </c>
      <c r="N762">
        <v>5</v>
      </c>
      <c r="O762" t="s">
        <v>23</v>
      </c>
      <c r="P762" s="3">
        <v>0.08</v>
      </c>
      <c r="Q762" s="2">
        <v>167.18400000000003</v>
      </c>
      <c r="R762">
        <v>5</v>
      </c>
      <c r="S762" t="str">
        <f t="shared" si="11"/>
        <v>Fevereiro</v>
      </c>
    </row>
    <row r="763" spans="1:19" hidden="1" x14ac:dyDescent="0.3">
      <c r="A763">
        <v>762</v>
      </c>
      <c r="B763" s="1">
        <v>44248</v>
      </c>
      <c r="C763">
        <v>26</v>
      </c>
      <c r="D763" t="s">
        <v>82</v>
      </c>
      <c r="E763" t="s">
        <v>96</v>
      </c>
      <c r="F763">
        <v>48</v>
      </c>
      <c r="G763" s="2">
        <v>96</v>
      </c>
      <c r="H763" s="2">
        <v>4608</v>
      </c>
      <c r="I763" s="1">
        <v>0.13</v>
      </c>
      <c r="J763" s="2">
        <v>4008.96</v>
      </c>
      <c r="K763" s="1">
        <v>44278</v>
      </c>
      <c r="L763" s="1">
        <v>44278</v>
      </c>
      <c r="M763">
        <v>762</v>
      </c>
      <c r="N763">
        <v>2</v>
      </c>
      <c r="O763" t="s">
        <v>38</v>
      </c>
      <c r="P763" s="3">
        <v>7.0000000000000007E-2</v>
      </c>
      <c r="Q763" s="2">
        <v>280.62720000000002</v>
      </c>
      <c r="R763">
        <v>6</v>
      </c>
      <c r="S763" t="str">
        <f t="shared" si="11"/>
        <v>Fevereiro</v>
      </c>
    </row>
    <row r="764" spans="1:19" x14ac:dyDescent="0.3">
      <c r="A764">
        <v>763</v>
      </c>
      <c r="B764" s="1">
        <v>44248</v>
      </c>
      <c r="C764">
        <v>53</v>
      </c>
      <c r="D764" t="s">
        <v>75</v>
      </c>
      <c r="E764" t="s">
        <v>99</v>
      </c>
      <c r="F764">
        <v>41</v>
      </c>
      <c r="G764" s="2">
        <v>100</v>
      </c>
      <c r="H764" s="2">
        <v>4100</v>
      </c>
      <c r="I764" s="1">
        <v>0</v>
      </c>
      <c r="J764" s="2">
        <v>4100</v>
      </c>
      <c r="K764" s="1">
        <v>44271</v>
      </c>
      <c r="L764" s="1">
        <v>44271</v>
      </c>
      <c r="M764">
        <v>763</v>
      </c>
      <c r="N764">
        <v>5</v>
      </c>
      <c r="O764" t="s">
        <v>35</v>
      </c>
      <c r="P764" s="3">
        <v>0.06</v>
      </c>
      <c r="Q764" s="2">
        <v>246</v>
      </c>
      <c r="R764">
        <v>7</v>
      </c>
      <c r="S764" t="str">
        <f t="shared" si="11"/>
        <v>Fevereiro</v>
      </c>
    </row>
    <row r="765" spans="1:19" hidden="1" x14ac:dyDescent="0.3">
      <c r="A765">
        <v>764</v>
      </c>
      <c r="B765" s="1">
        <v>44248</v>
      </c>
      <c r="C765">
        <v>65</v>
      </c>
      <c r="D765" t="s">
        <v>51</v>
      </c>
      <c r="E765" t="s">
        <v>95</v>
      </c>
      <c r="F765">
        <v>45</v>
      </c>
      <c r="G765" s="2">
        <v>112</v>
      </c>
      <c r="H765" s="2">
        <v>5040</v>
      </c>
      <c r="I765" s="1">
        <v>0.05</v>
      </c>
      <c r="J765" s="2">
        <v>4788</v>
      </c>
      <c r="K765" s="1">
        <v>44249</v>
      </c>
      <c r="L765" s="1">
        <v>44249</v>
      </c>
      <c r="M765">
        <v>764</v>
      </c>
      <c r="N765">
        <v>3</v>
      </c>
      <c r="O765" t="s">
        <v>20</v>
      </c>
      <c r="P765" s="3">
        <v>0.09</v>
      </c>
      <c r="Q765" s="2">
        <v>430.91999999999996</v>
      </c>
      <c r="R765">
        <v>1</v>
      </c>
      <c r="S765" t="str">
        <f t="shared" si="11"/>
        <v>Fevereiro</v>
      </c>
    </row>
    <row r="766" spans="1:19" hidden="1" x14ac:dyDescent="0.3">
      <c r="A766">
        <v>765</v>
      </c>
      <c r="B766" s="1">
        <v>44248</v>
      </c>
      <c r="C766">
        <v>18</v>
      </c>
      <c r="D766" t="s">
        <v>70</v>
      </c>
      <c r="E766" t="s">
        <v>95</v>
      </c>
      <c r="F766">
        <v>20</v>
      </c>
      <c r="G766" s="2">
        <v>92</v>
      </c>
      <c r="H766" s="2">
        <v>1840</v>
      </c>
      <c r="I766" s="1">
        <v>0.15</v>
      </c>
      <c r="J766" s="2">
        <v>1564</v>
      </c>
      <c r="K766" s="1">
        <v>44270</v>
      </c>
      <c r="L766" s="1">
        <v>44270</v>
      </c>
      <c r="M766">
        <v>765</v>
      </c>
      <c r="N766">
        <v>3</v>
      </c>
      <c r="O766" t="s">
        <v>27</v>
      </c>
      <c r="P766" s="3">
        <v>0.05</v>
      </c>
      <c r="Q766" s="2">
        <v>78.2</v>
      </c>
      <c r="R766">
        <v>2</v>
      </c>
      <c r="S766" t="str">
        <f t="shared" si="11"/>
        <v>Fevereiro</v>
      </c>
    </row>
    <row r="767" spans="1:19" hidden="1" x14ac:dyDescent="0.3">
      <c r="A767">
        <v>766</v>
      </c>
      <c r="B767" s="1">
        <v>44248</v>
      </c>
      <c r="C767">
        <v>94</v>
      </c>
      <c r="D767" t="s">
        <v>40</v>
      </c>
      <c r="E767" t="s">
        <v>95</v>
      </c>
      <c r="F767">
        <v>28</v>
      </c>
      <c r="G767" s="2">
        <v>105</v>
      </c>
      <c r="H767" s="2">
        <v>2940</v>
      </c>
      <c r="I767" s="1">
        <v>0.02</v>
      </c>
      <c r="J767" s="2">
        <v>2881.2</v>
      </c>
      <c r="K767" s="1">
        <v>44250</v>
      </c>
      <c r="L767" s="1">
        <v>44250</v>
      </c>
      <c r="M767">
        <v>766</v>
      </c>
      <c r="N767">
        <v>5</v>
      </c>
      <c r="O767" t="s">
        <v>20</v>
      </c>
      <c r="P767" s="3">
        <v>0.1</v>
      </c>
      <c r="Q767" s="2">
        <v>288.12</v>
      </c>
      <c r="R767">
        <v>3</v>
      </c>
      <c r="S767" t="str">
        <f t="shared" si="11"/>
        <v>Fevereiro</v>
      </c>
    </row>
    <row r="768" spans="1:19" hidden="1" x14ac:dyDescent="0.3">
      <c r="A768">
        <v>767</v>
      </c>
      <c r="B768" s="1">
        <v>44249</v>
      </c>
      <c r="C768">
        <v>38</v>
      </c>
      <c r="D768" t="s">
        <v>60</v>
      </c>
      <c r="E768" t="s">
        <v>97</v>
      </c>
      <c r="F768">
        <v>38</v>
      </c>
      <c r="G768" s="2">
        <v>119</v>
      </c>
      <c r="H768" s="2">
        <v>4522</v>
      </c>
      <c r="I768" s="1">
        <v>0.04</v>
      </c>
      <c r="J768" s="2">
        <v>4341.12</v>
      </c>
      <c r="K768" s="1">
        <v>44259</v>
      </c>
      <c r="L768" s="1">
        <v>44259</v>
      </c>
      <c r="M768">
        <v>767</v>
      </c>
      <c r="N768">
        <v>4</v>
      </c>
      <c r="O768" t="s">
        <v>25</v>
      </c>
      <c r="P768" s="3">
        <v>0.06</v>
      </c>
      <c r="Q768" s="2">
        <v>260.46719999999999</v>
      </c>
      <c r="R768">
        <v>4</v>
      </c>
      <c r="S768" t="str">
        <f t="shared" si="11"/>
        <v>Fevereiro</v>
      </c>
    </row>
    <row r="769" spans="1:19" hidden="1" x14ac:dyDescent="0.3">
      <c r="A769">
        <v>768</v>
      </c>
      <c r="B769" s="1">
        <v>44249</v>
      </c>
      <c r="C769">
        <v>23</v>
      </c>
      <c r="D769" t="s">
        <v>92</v>
      </c>
      <c r="E769" t="s">
        <v>97</v>
      </c>
      <c r="F769">
        <v>29</v>
      </c>
      <c r="G769" s="2">
        <v>109</v>
      </c>
      <c r="H769" s="2">
        <v>3161</v>
      </c>
      <c r="I769" s="1">
        <v>0.09</v>
      </c>
      <c r="J769" s="2">
        <v>2876.51</v>
      </c>
      <c r="K769" s="1">
        <v>44278</v>
      </c>
      <c r="L769" s="1">
        <v>44278</v>
      </c>
      <c r="M769">
        <v>768</v>
      </c>
      <c r="N769">
        <v>3</v>
      </c>
      <c r="O769" t="s">
        <v>18</v>
      </c>
      <c r="P769" s="3">
        <v>0.05</v>
      </c>
      <c r="Q769" s="2">
        <v>143.82550000000001</v>
      </c>
      <c r="R769">
        <v>5</v>
      </c>
      <c r="S769" t="str">
        <f t="shared" si="11"/>
        <v>Fevereiro</v>
      </c>
    </row>
    <row r="770" spans="1:19" hidden="1" x14ac:dyDescent="0.3">
      <c r="A770">
        <v>769</v>
      </c>
      <c r="B770" s="1">
        <v>44249</v>
      </c>
      <c r="C770">
        <v>89</v>
      </c>
      <c r="D770" t="s">
        <v>40</v>
      </c>
      <c r="E770" t="s">
        <v>95</v>
      </c>
      <c r="F770">
        <v>11</v>
      </c>
      <c r="G770" s="2">
        <v>106</v>
      </c>
      <c r="H770" s="2">
        <v>1166</v>
      </c>
      <c r="I770" s="1">
        <v>0.06</v>
      </c>
      <c r="J770" s="2">
        <v>1096.04</v>
      </c>
      <c r="K770" s="1">
        <v>44279</v>
      </c>
      <c r="L770" s="1">
        <v>44279</v>
      </c>
      <c r="M770">
        <v>769</v>
      </c>
      <c r="N770">
        <v>7</v>
      </c>
      <c r="O770" t="s">
        <v>27</v>
      </c>
      <c r="P770" s="3">
        <v>0.05</v>
      </c>
      <c r="Q770" s="2">
        <v>54.802</v>
      </c>
      <c r="R770">
        <v>6</v>
      </c>
      <c r="S770" t="str">
        <f t="shared" si="11"/>
        <v>Fevereiro</v>
      </c>
    </row>
    <row r="771" spans="1:19" hidden="1" x14ac:dyDescent="0.3">
      <c r="A771">
        <v>770</v>
      </c>
      <c r="B771" s="1">
        <v>44250</v>
      </c>
      <c r="C771">
        <v>96</v>
      </c>
      <c r="D771" t="s">
        <v>34</v>
      </c>
      <c r="E771" t="s">
        <v>102</v>
      </c>
      <c r="F771">
        <v>20</v>
      </c>
      <c r="G771" s="2">
        <v>102</v>
      </c>
      <c r="H771" s="2">
        <v>2040</v>
      </c>
      <c r="I771" s="1">
        <v>0.08</v>
      </c>
      <c r="J771" s="2">
        <v>1876.8</v>
      </c>
      <c r="K771" s="1">
        <v>44267</v>
      </c>
      <c r="L771" s="1">
        <v>44267</v>
      </c>
      <c r="M771">
        <v>770</v>
      </c>
      <c r="N771">
        <v>5</v>
      </c>
      <c r="O771" t="s">
        <v>38</v>
      </c>
      <c r="P771" s="3">
        <v>0.08</v>
      </c>
      <c r="Q771" s="2">
        <v>150.14400000000001</v>
      </c>
      <c r="R771">
        <v>7</v>
      </c>
      <c r="S771" t="str">
        <f t="shared" ref="S771:S834" si="12">PROPER(TEXT(B771,"mmmm"))</f>
        <v>Fevereiro</v>
      </c>
    </row>
    <row r="772" spans="1:19" x14ac:dyDescent="0.3">
      <c r="A772">
        <v>771</v>
      </c>
      <c r="B772" s="1">
        <v>44250</v>
      </c>
      <c r="C772">
        <v>86</v>
      </c>
      <c r="D772" t="s">
        <v>77</v>
      </c>
      <c r="E772" t="s">
        <v>96</v>
      </c>
      <c r="F772">
        <v>33</v>
      </c>
      <c r="G772" s="2">
        <v>118</v>
      </c>
      <c r="H772" s="2">
        <v>3894</v>
      </c>
      <c r="I772" s="1">
        <v>0.09</v>
      </c>
      <c r="J772" s="2">
        <v>3543.54</v>
      </c>
      <c r="K772" s="1">
        <v>44260</v>
      </c>
      <c r="L772" s="1">
        <v>44260</v>
      </c>
      <c r="M772">
        <v>771</v>
      </c>
      <c r="N772">
        <v>7</v>
      </c>
      <c r="O772" t="s">
        <v>35</v>
      </c>
      <c r="P772" s="3">
        <v>0.05</v>
      </c>
      <c r="Q772" s="2">
        <v>177.17700000000002</v>
      </c>
      <c r="R772">
        <v>1</v>
      </c>
      <c r="S772" t="str">
        <f t="shared" si="12"/>
        <v>Fevereiro</v>
      </c>
    </row>
    <row r="773" spans="1:19" hidden="1" x14ac:dyDescent="0.3">
      <c r="A773">
        <v>772</v>
      </c>
      <c r="B773" s="1">
        <v>44251</v>
      </c>
      <c r="C773">
        <v>51</v>
      </c>
      <c r="D773" t="s">
        <v>43</v>
      </c>
      <c r="E773" t="s">
        <v>96</v>
      </c>
      <c r="F773">
        <v>19</v>
      </c>
      <c r="G773" s="2">
        <v>99</v>
      </c>
      <c r="H773" s="2">
        <v>1881</v>
      </c>
      <c r="I773" s="1">
        <v>0.06</v>
      </c>
      <c r="J773" s="2">
        <v>1768.14</v>
      </c>
      <c r="K773" s="1">
        <v>44275</v>
      </c>
      <c r="L773" s="1">
        <v>44275</v>
      </c>
      <c r="M773">
        <v>772</v>
      </c>
      <c r="N773">
        <v>6</v>
      </c>
      <c r="O773" t="s">
        <v>42</v>
      </c>
      <c r="P773" s="3">
        <v>0.08</v>
      </c>
      <c r="Q773" s="2">
        <v>141.4512</v>
      </c>
      <c r="R773">
        <v>2</v>
      </c>
      <c r="S773" t="str">
        <f t="shared" si="12"/>
        <v>Fevereiro</v>
      </c>
    </row>
    <row r="774" spans="1:19" hidden="1" x14ac:dyDescent="0.3">
      <c r="A774">
        <v>773</v>
      </c>
      <c r="B774" s="1">
        <v>44251</v>
      </c>
      <c r="C774">
        <v>33</v>
      </c>
      <c r="D774" t="s">
        <v>63</v>
      </c>
      <c r="E774" t="s">
        <v>99</v>
      </c>
      <c r="F774">
        <v>36</v>
      </c>
      <c r="G774" s="2">
        <v>98</v>
      </c>
      <c r="H774" s="2">
        <v>3528</v>
      </c>
      <c r="I774" s="1">
        <v>0.1</v>
      </c>
      <c r="J774" s="2">
        <v>3175.2</v>
      </c>
      <c r="K774" s="1">
        <v>44279</v>
      </c>
      <c r="L774" s="1">
        <v>44279</v>
      </c>
      <c r="M774">
        <v>773</v>
      </c>
      <c r="N774">
        <v>1</v>
      </c>
      <c r="O774" t="s">
        <v>42</v>
      </c>
      <c r="P774" s="3">
        <v>0.09</v>
      </c>
      <c r="Q774" s="2">
        <v>285.76799999999997</v>
      </c>
      <c r="R774">
        <v>3</v>
      </c>
      <c r="S774" t="str">
        <f t="shared" si="12"/>
        <v>Fevereiro</v>
      </c>
    </row>
    <row r="775" spans="1:19" hidden="1" x14ac:dyDescent="0.3">
      <c r="A775">
        <v>774</v>
      </c>
      <c r="B775" s="1">
        <v>44252</v>
      </c>
      <c r="C775">
        <v>60</v>
      </c>
      <c r="D775" t="s">
        <v>69</v>
      </c>
      <c r="E775" t="s">
        <v>95</v>
      </c>
      <c r="F775">
        <v>28</v>
      </c>
      <c r="G775" s="2">
        <v>97</v>
      </c>
      <c r="H775" s="2">
        <v>2716</v>
      </c>
      <c r="I775" s="1">
        <v>0.06</v>
      </c>
      <c r="J775" s="2">
        <v>2553.04</v>
      </c>
      <c r="K775" s="1">
        <v>44260</v>
      </c>
      <c r="L775" s="1">
        <v>44260</v>
      </c>
      <c r="M775">
        <v>774</v>
      </c>
      <c r="N775">
        <v>1</v>
      </c>
      <c r="O775" t="s">
        <v>56</v>
      </c>
      <c r="P775" s="3">
        <v>0.08</v>
      </c>
      <c r="Q775" s="2">
        <v>204.2432</v>
      </c>
      <c r="R775">
        <v>4</v>
      </c>
      <c r="S775" t="str">
        <f t="shared" si="12"/>
        <v>Fevereiro</v>
      </c>
    </row>
    <row r="776" spans="1:19" hidden="1" x14ac:dyDescent="0.3">
      <c r="A776">
        <v>775</v>
      </c>
      <c r="B776" s="1">
        <v>44252</v>
      </c>
      <c r="C776">
        <v>75</v>
      </c>
      <c r="D776" t="s">
        <v>31</v>
      </c>
      <c r="E776" t="s">
        <v>98</v>
      </c>
      <c r="F776">
        <v>39</v>
      </c>
      <c r="G776" s="2">
        <v>113</v>
      </c>
      <c r="H776" s="2">
        <v>4407</v>
      </c>
      <c r="I776" s="1">
        <v>0.1</v>
      </c>
      <c r="J776" s="2">
        <v>3966.3</v>
      </c>
      <c r="K776" s="1">
        <v>44282</v>
      </c>
      <c r="L776" s="1">
        <v>44282</v>
      </c>
      <c r="M776">
        <v>775</v>
      </c>
      <c r="N776">
        <v>5</v>
      </c>
      <c r="O776" t="s">
        <v>20</v>
      </c>
      <c r="P776" s="3">
        <v>0.06</v>
      </c>
      <c r="Q776" s="2">
        <v>237.97800000000001</v>
      </c>
      <c r="R776">
        <v>5</v>
      </c>
      <c r="S776" t="str">
        <f t="shared" si="12"/>
        <v>Fevereiro</v>
      </c>
    </row>
    <row r="777" spans="1:19" x14ac:dyDescent="0.3">
      <c r="A777">
        <v>776</v>
      </c>
      <c r="B777" s="1">
        <v>44252</v>
      </c>
      <c r="C777">
        <v>62</v>
      </c>
      <c r="D777" t="s">
        <v>31</v>
      </c>
      <c r="E777" t="s">
        <v>99</v>
      </c>
      <c r="F777">
        <v>35</v>
      </c>
      <c r="G777" s="2">
        <v>98</v>
      </c>
      <c r="H777" s="2">
        <v>3430</v>
      </c>
      <c r="I777" s="1">
        <v>0.02</v>
      </c>
      <c r="J777" s="2">
        <v>3361.4</v>
      </c>
      <c r="K777" s="1">
        <v>44282</v>
      </c>
      <c r="L777" s="1">
        <v>44282</v>
      </c>
      <c r="M777">
        <v>776</v>
      </c>
      <c r="N777">
        <v>7</v>
      </c>
      <c r="O777" t="s">
        <v>35</v>
      </c>
      <c r="P777" s="3">
        <v>0.05</v>
      </c>
      <c r="Q777" s="2">
        <v>168.07000000000002</v>
      </c>
      <c r="R777">
        <v>6</v>
      </c>
      <c r="S777" t="str">
        <f t="shared" si="12"/>
        <v>Fevereiro</v>
      </c>
    </row>
    <row r="778" spans="1:19" hidden="1" x14ac:dyDescent="0.3">
      <c r="A778">
        <v>777</v>
      </c>
      <c r="B778" s="1">
        <v>44252</v>
      </c>
      <c r="C778">
        <v>21</v>
      </c>
      <c r="D778" t="s">
        <v>74</v>
      </c>
      <c r="E778" t="s">
        <v>96</v>
      </c>
      <c r="F778">
        <v>13</v>
      </c>
      <c r="G778" s="2">
        <v>106</v>
      </c>
      <c r="H778" s="2">
        <v>1378</v>
      </c>
      <c r="I778" s="1">
        <v>0</v>
      </c>
      <c r="J778" s="2">
        <v>1378</v>
      </c>
      <c r="K778" s="1">
        <v>44255</v>
      </c>
      <c r="L778" s="1">
        <v>44255</v>
      </c>
      <c r="M778">
        <v>777</v>
      </c>
      <c r="N778">
        <v>4</v>
      </c>
      <c r="O778" t="s">
        <v>20</v>
      </c>
      <c r="P778" s="3">
        <v>0.05</v>
      </c>
      <c r="Q778" s="2">
        <v>68.900000000000006</v>
      </c>
      <c r="R778">
        <v>7</v>
      </c>
      <c r="S778" t="str">
        <f t="shared" si="12"/>
        <v>Fevereiro</v>
      </c>
    </row>
    <row r="779" spans="1:19" hidden="1" x14ac:dyDescent="0.3">
      <c r="A779">
        <v>778</v>
      </c>
      <c r="B779" s="1">
        <v>44253</v>
      </c>
      <c r="C779">
        <v>17</v>
      </c>
      <c r="D779" t="s">
        <v>54</v>
      </c>
      <c r="E779" t="s">
        <v>97</v>
      </c>
      <c r="F779">
        <v>10</v>
      </c>
      <c r="G779" s="2">
        <v>104</v>
      </c>
      <c r="H779" s="2">
        <v>1040</v>
      </c>
      <c r="I779" s="1">
        <v>0.12</v>
      </c>
      <c r="J779" s="2">
        <v>915.2</v>
      </c>
      <c r="K779" s="1">
        <v>44264</v>
      </c>
      <c r="L779" s="1">
        <v>44264</v>
      </c>
      <c r="M779">
        <v>778</v>
      </c>
      <c r="N779">
        <v>2</v>
      </c>
      <c r="O779" t="s">
        <v>38</v>
      </c>
      <c r="P779" s="3">
        <v>0.09</v>
      </c>
      <c r="Q779" s="2">
        <v>82.367999999999995</v>
      </c>
      <c r="R779">
        <v>1</v>
      </c>
      <c r="S779" t="str">
        <f t="shared" si="12"/>
        <v>Fevereiro</v>
      </c>
    </row>
    <row r="780" spans="1:19" hidden="1" x14ac:dyDescent="0.3">
      <c r="A780">
        <v>779</v>
      </c>
      <c r="B780" s="1">
        <v>44253</v>
      </c>
      <c r="C780">
        <v>49</v>
      </c>
      <c r="D780" t="s">
        <v>31</v>
      </c>
      <c r="E780" t="s">
        <v>101</v>
      </c>
      <c r="F780">
        <v>37</v>
      </c>
      <c r="G780" s="2">
        <v>112</v>
      </c>
      <c r="H780" s="2">
        <v>4144</v>
      </c>
      <c r="I780" s="1">
        <v>0.03</v>
      </c>
      <c r="J780" s="2">
        <v>4019.68</v>
      </c>
      <c r="K780" s="1">
        <v>44269</v>
      </c>
      <c r="L780" s="1">
        <v>44269</v>
      </c>
      <c r="M780">
        <v>779</v>
      </c>
      <c r="N780">
        <v>4</v>
      </c>
      <c r="O780" t="s">
        <v>25</v>
      </c>
      <c r="P780" s="3">
        <v>0.08</v>
      </c>
      <c r="Q780" s="2">
        <v>321.57439999999997</v>
      </c>
      <c r="R780">
        <v>2</v>
      </c>
      <c r="S780" t="str">
        <f t="shared" si="12"/>
        <v>Fevereiro</v>
      </c>
    </row>
    <row r="781" spans="1:19" hidden="1" x14ac:dyDescent="0.3">
      <c r="A781">
        <v>780</v>
      </c>
      <c r="B781" s="1">
        <v>44253</v>
      </c>
      <c r="C781">
        <v>24</v>
      </c>
      <c r="D781" t="s">
        <v>61</v>
      </c>
      <c r="E781" t="s">
        <v>101</v>
      </c>
      <c r="F781">
        <v>30</v>
      </c>
      <c r="G781" s="2">
        <v>110</v>
      </c>
      <c r="H781" s="2">
        <v>3300</v>
      </c>
      <c r="I781" s="1">
        <v>0.01</v>
      </c>
      <c r="J781" s="2">
        <v>3267</v>
      </c>
      <c r="K781" s="1">
        <v>44276</v>
      </c>
      <c r="L781" s="1">
        <v>44276</v>
      </c>
      <c r="M781">
        <v>780</v>
      </c>
      <c r="N781">
        <v>2</v>
      </c>
      <c r="O781" t="s">
        <v>18</v>
      </c>
      <c r="P781" s="3">
        <v>0.08</v>
      </c>
      <c r="Q781" s="2">
        <v>261.36</v>
      </c>
      <c r="R781">
        <v>3</v>
      </c>
      <c r="S781" t="str">
        <f t="shared" si="12"/>
        <v>Fevereiro</v>
      </c>
    </row>
    <row r="782" spans="1:19" x14ac:dyDescent="0.3">
      <c r="A782">
        <v>781</v>
      </c>
      <c r="B782" s="1">
        <v>44254</v>
      </c>
      <c r="C782">
        <v>14</v>
      </c>
      <c r="D782" t="s">
        <v>22</v>
      </c>
      <c r="E782" t="s">
        <v>99</v>
      </c>
      <c r="F782">
        <v>45</v>
      </c>
      <c r="G782" s="2">
        <v>104</v>
      </c>
      <c r="H782" s="2">
        <v>4680</v>
      </c>
      <c r="I782" s="1">
        <v>0.13</v>
      </c>
      <c r="J782" s="2">
        <v>4071.6</v>
      </c>
      <c r="K782" s="1">
        <v>44284</v>
      </c>
      <c r="L782" s="1">
        <v>44284</v>
      </c>
      <c r="M782">
        <v>781</v>
      </c>
      <c r="N782">
        <v>3</v>
      </c>
      <c r="O782" t="s">
        <v>35</v>
      </c>
      <c r="P782" s="3">
        <v>0.06</v>
      </c>
      <c r="Q782" s="2">
        <v>244.29599999999999</v>
      </c>
      <c r="R782">
        <v>4</v>
      </c>
      <c r="S782" t="str">
        <f t="shared" si="12"/>
        <v>Fevereiro</v>
      </c>
    </row>
    <row r="783" spans="1:19" hidden="1" x14ac:dyDescent="0.3">
      <c r="A783">
        <v>782</v>
      </c>
      <c r="B783" s="1">
        <v>44254</v>
      </c>
      <c r="C783">
        <v>21</v>
      </c>
      <c r="D783" t="s">
        <v>74</v>
      </c>
      <c r="E783" t="s">
        <v>96</v>
      </c>
      <c r="F783">
        <v>50</v>
      </c>
      <c r="G783" s="2">
        <v>114</v>
      </c>
      <c r="H783" s="2">
        <v>5700</v>
      </c>
      <c r="I783" s="1">
        <v>0</v>
      </c>
      <c r="J783" s="2">
        <v>5700</v>
      </c>
      <c r="K783" s="1">
        <v>44282</v>
      </c>
      <c r="L783" s="1">
        <v>44282</v>
      </c>
      <c r="M783">
        <v>782</v>
      </c>
      <c r="N783">
        <v>3</v>
      </c>
      <c r="O783" t="s">
        <v>56</v>
      </c>
      <c r="P783" s="3">
        <v>0.1</v>
      </c>
      <c r="Q783" s="2">
        <v>570</v>
      </c>
      <c r="R783">
        <v>5</v>
      </c>
      <c r="S783" t="str">
        <f t="shared" si="12"/>
        <v>Fevereiro</v>
      </c>
    </row>
    <row r="784" spans="1:19" hidden="1" x14ac:dyDescent="0.3">
      <c r="A784">
        <v>783</v>
      </c>
      <c r="B784" s="1">
        <v>44255</v>
      </c>
      <c r="C784">
        <v>15</v>
      </c>
      <c r="D784" t="s">
        <v>64</v>
      </c>
      <c r="E784" t="s">
        <v>96</v>
      </c>
      <c r="F784">
        <v>15</v>
      </c>
      <c r="G784" s="2">
        <v>112</v>
      </c>
      <c r="H784" s="2">
        <v>1680</v>
      </c>
      <c r="I784" s="1">
        <v>0.14000000000000001</v>
      </c>
      <c r="J784" s="2">
        <v>1444.8</v>
      </c>
      <c r="K784" s="1">
        <v>44283</v>
      </c>
      <c r="L784" s="1">
        <v>44283</v>
      </c>
      <c r="M784">
        <v>783</v>
      </c>
      <c r="N784">
        <v>1</v>
      </c>
      <c r="O784" t="s">
        <v>27</v>
      </c>
      <c r="P784" s="3">
        <v>7.0000000000000007E-2</v>
      </c>
      <c r="Q784" s="2">
        <v>101.13600000000001</v>
      </c>
      <c r="R784">
        <v>6</v>
      </c>
      <c r="S784" t="str">
        <f t="shared" si="12"/>
        <v>Fevereiro</v>
      </c>
    </row>
    <row r="785" spans="1:19" hidden="1" x14ac:dyDescent="0.3">
      <c r="A785">
        <v>784</v>
      </c>
      <c r="B785" s="1">
        <v>44256</v>
      </c>
      <c r="C785">
        <v>38</v>
      </c>
      <c r="D785" t="s">
        <v>60</v>
      </c>
      <c r="E785" t="s">
        <v>99</v>
      </c>
      <c r="F785">
        <v>47</v>
      </c>
      <c r="G785" s="2">
        <v>105</v>
      </c>
      <c r="H785" s="2">
        <v>4935</v>
      </c>
      <c r="I785" s="1">
        <v>0.15</v>
      </c>
      <c r="J785" s="2">
        <v>4194.75</v>
      </c>
      <c r="K785" s="1">
        <v>44276</v>
      </c>
      <c r="L785" s="1">
        <v>44276</v>
      </c>
      <c r="M785">
        <v>784</v>
      </c>
      <c r="N785">
        <v>6</v>
      </c>
      <c r="O785" t="s">
        <v>56</v>
      </c>
      <c r="P785" s="3">
        <v>0.1</v>
      </c>
      <c r="Q785" s="2">
        <v>419.47500000000002</v>
      </c>
      <c r="R785">
        <v>7</v>
      </c>
      <c r="S785" t="str">
        <f t="shared" si="12"/>
        <v>Março</v>
      </c>
    </row>
    <row r="786" spans="1:19" hidden="1" x14ac:dyDescent="0.3">
      <c r="A786">
        <v>785</v>
      </c>
      <c r="B786" s="1">
        <v>44257</v>
      </c>
      <c r="C786">
        <v>85</v>
      </c>
      <c r="D786" t="s">
        <v>45</v>
      </c>
      <c r="E786" t="s">
        <v>96</v>
      </c>
      <c r="F786">
        <v>13</v>
      </c>
      <c r="G786" s="2">
        <v>94</v>
      </c>
      <c r="H786" s="2">
        <v>1222</v>
      </c>
      <c r="I786" s="1">
        <v>0.02</v>
      </c>
      <c r="J786" s="2">
        <v>1197.56</v>
      </c>
      <c r="K786" s="1">
        <v>44283</v>
      </c>
      <c r="L786" s="1">
        <v>44283</v>
      </c>
      <c r="M786">
        <v>785</v>
      </c>
      <c r="N786">
        <v>4</v>
      </c>
      <c r="O786" t="s">
        <v>30</v>
      </c>
      <c r="P786" s="3">
        <v>0.09</v>
      </c>
      <c r="Q786" s="2">
        <v>107.78039999999999</v>
      </c>
      <c r="R786">
        <v>1</v>
      </c>
      <c r="S786" t="str">
        <f t="shared" si="12"/>
        <v>Março</v>
      </c>
    </row>
    <row r="787" spans="1:19" hidden="1" x14ac:dyDescent="0.3">
      <c r="A787">
        <v>786</v>
      </c>
      <c r="B787" s="1">
        <v>44257</v>
      </c>
      <c r="C787">
        <v>70</v>
      </c>
      <c r="D787" t="s">
        <v>54</v>
      </c>
      <c r="E787" t="s">
        <v>99</v>
      </c>
      <c r="F787">
        <v>29</v>
      </c>
      <c r="G787" s="2">
        <v>96</v>
      </c>
      <c r="H787" s="2">
        <v>2784</v>
      </c>
      <c r="I787" s="1">
        <v>7.0000000000000007E-2</v>
      </c>
      <c r="J787" s="2">
        <v>2589.12</v>
      </c>
      <c r="K787" s="1">
        <v>44266</v>
      </c>
      <c r="L787" s="1">
        <v>44266</v>
      </c>
      <c r="M787">
        <v>786</v>
      </c>
      <c r="N787">
        <v>1</v>
      </c>
      <c r="O787" t="s">
        <v>23</v>
      </c>
      <c r="P787" s="3">
        <v>7.0000000000000007E-2</v>
      </c>
      <c r="Q787" s="2">
        <v>181.23840000000001</v>
      </c>
      <c r="R787">
        <v>2</v>
      </c>
      <c r="S787" t="str">
        <f t="shared" si="12"/>
        <v>Março</v>
      </c>
    </row>
    <row r="788" spans="1:19" hidden="1" x14ac:dyDescent="0.3">
      <c r="A788">
        <v>787</v>
      </c>
      <c r="B788" s="1">
        <v>44257</v>
      </c>
      <c r="C788">
        <v>30</v>
      </c>
      <c r="D788" t="s">
        <v>83</v>
      </c>
      <c r="E788" t="s">
        <v>99</v>
      </c>
      <c r="F788">
        <v>24</v>
      </c>
      <c r="G788" s="2">
        <v>100</v>
      </c>
      <c r="H788" s="2">
        <v>2400</v>
      </c>
      <c r="I788" s="1">
        <v>0.15</v>
      </c>
      <c r="J788" s="2">
        <v>2040</v>
      </c>
      <c r="K788" s="1">
        <v>44279</v>
      </c>
      <c r="L788" s="1">
        <v>44279</v>
      </c>
      <c r="M788">
        <v>787</v>
      </c>
      <c r="N788">
        <v>3</v>
      </c>
      <c r="O788" t="s">
        <v>38</v>
      </c>
      <c r="P788" s="3">
        <v>0.06</v>
      </c>
      <c r="Q788" s="2">
        <v>122.39999999999999</v>
      </c>
      <c r="R788">
        <v>3</v>
      </c>
      <c r="S788" t="str">
        <f t="shared" si="12"/>
        <v>Março</v>
      </c>
    </row>
    <row r="789" spans="1:19" x14ac:dyDescent="0.3">
      <c r="A789">
        <v>788</v>
      </c>
      <c r="B789" s="1">
        <v>44257</v>
      </c>
      <c r="C789">
        <v>66</v>
      </c>
      <c r="D789" t="s">
        <v>24</v>
      </c>
      <c r="E789" t="s">
        <v>98</v>
      </c>
      <c r="F789">
        <v>34</v>
      </c>
      <c r="G789" s="2">
        <v>111</v>
      </c>
      <c r="H789" s="2">
        <v>3774</v>
      </c>
      <c r="I789" s="1">
        <v>7.0000000000000007E-2</v>
      </c>
      <c r="J789" s="2">
        <v>3509.82</v>
      </c>
      <c r="K789" s="1">
        <v>44279</v>
      </c>
      <c r="L789" s="1">
        <v>44279</v>
      </c>
      <c r="M789">
        <v>788</v>
      </c>
      <c r="N789">
        <v>2</v>
      </c>
      <c r="O789" t="s">
        <v>35</v>
      </c>
      <c r="P789" s="3">
        <v>0.06</v>
      </c>
      <c r="Q789" s="2">
        <v>210.58920000000001</v>
      </c>
      <c r="R789">
        <v>4</v>
      </c>
      <c r="S789" t="str">
        <f t="shared" si="12"/>
        <v>Março</v>
      </c>
    </row>
    <row r="790" spans="1:19" hidden="1" x14ac:dyDescent="0.3">
      <c r="A790">
        <v>789</v>
      </c>
      <c r="B790" s="1">
        <v>44259</v>
      </c>
      <c r="C790">
        <v>98</v>
      </c>
      <c r="D790" t="s">
        <v>21</v>
      </c>
      <c r="E790" t="s">
        <v>95</v>
      </c>
      <c r="F790">
        <v>49</v>
      </c>
      <c r="G790" s="2">
        <v>115</v>
      </c>
      <c r="H790" s="2">
        <v>5635</v>
      </c>
      <c r="I790" s="1">
        <v>0.09</v>
      </c>
      <c r="J790" s="2">
        <v>5127.8500000000004</v>
      </c>
      <c r="K790" s="1">
        <v>44287</v>
      </c>
      <c r="L790" s="1">
        <v>44287</v>
      </c>
      <c r="M790">
        <v>789</v>
      </c>
      <c r="N790">
        <v>1</v>
      </c>
      <c r="O790" t="s">
        <v>56</v>
      </c>
      <c r="P790" s="3">
        <v>0.08</v>
      </c>
      <c r="Q790" s="2">
        <v>410.22800000000007</v>
      </c>
      <c r="R790">
        <v>5</v>
      </c>
      <c r="S790" t="str">
        <f t="shared" si="12"/>
        <v>Março</v>
      </c>
    </row>
    <row r="791" spans="1:19" hidden="1" x14ac:dyDescent="0.3">
      <c r="A791">
        <v>790</v>
      </c>
      <c r="B791" s="1">
        <v>44260</v>
      </c>
      <c r="C791">
        <v>1</v>
      </c>
      <c r="D791" t="s">
        <v>80</v>
      </c>
      <c r="E791" t="s">
        <v>97</v>
      </c>
      <c r="F791">
        <v>37</v>
      </c>
      <c r="G791" s="2">
        <v>97</v>
      </c>
      <c r="H791" s="2">
        <v>3589</v>
      </c>
      <c r="I791" s="1">
        <v>0.03</v>
      </c>
      <c r="J791" s="2">
        <v>3481.33</v>
      </c>
      <c r="K791" s="1">
        <v>44282</v>
      </c>
      <c r="L791" s="1">
        <v>44282</v>
      </c>
      <c r="M791">
        <v>790</v>
      </c>
      <c r="N791">
        <v>4</v>
      </c>
      <c r="O791" t="s">
        <v>38</v>
      </c>
      <c r="P791" s="3">
        <v>0.09</v>
      </c>
      <c r="Q791" s="2">
        <v>313.31969999999995</v>
      </c>
      <c r="R791">
        <v>6</v>
      </c>
      <c r="S791" t="str">
        <f t="shared" si="12"/>
        <v>Março</v>
      </c>
    </row>
    <row r="792" spans="1:19" hidden="1" x14ac:dyDescent="0.3">
      <c r="A792">
        <v>791</v>
      </c>
      <c r="B792" s="1">
        <v>44260</v>
      </c>
      <c r="C792">
        <v>42</v>
      </c>
      <c r="D792" t="s">
        <v>79</v>
      </c>
      <c r="E792" t="s">
        <v>97</v>
      </c>
      <c r="F792">
        <v>47</v>
      </c>
      <c r="G792" s="2">
        <v>98</v>
      </c>
      <c r="H792" s="2">
        <v>4606</v>
      </c>
      <c r="I792" s="1">
        <v>0.01</v>
      </c>
      <c r="J792" s="2">
        <v>4559.9399999999996</v>
      </c>
      <c r="K792" s="1">
        <v>44275</v>
      </c>
      <c r="L792" s="1">
        <v>44275</v>
      </c>
      <c r="M792">
        <v>791</v>
      </c>
      <c r="N792">
        <v>5</v>
      </c>
      <c r="O792" t="s">
        <v>42</v>
      </c>
      <c r="P792" s="3">
        <v>0.06</v>
      </c>
      <c r="Q792" s="2">
        <v>273.59639999999996</v>
      </c>
      <c r="R792">
        <v>7</v>
      </c>
      <c r="S792" t="str">
        <f t="shared" si="12"/>
        <v>Março</v>
      </c>
    </row>
    <row r="793" spans="1:19" hidden="1" x14ac:dyDescent="0.3">
      <c r="A793">
        <v>792</v>
      </c>
      <c r="B793" s="1">
        <v>44260</v>
      </c>
      <c r="C793">
        <v>81</v>
      </c>
      <c r="D793" t="s">
        <v>90</v>
      </c>
      <c r="E793" t="s">
        <v>104</v>
      </c>
      <c r="F793">
        <v>12</v>
      </c>
      <c r="G793" s="2">
        <v>101</v>
      </c>
      <c r="H793" s="2">
        <v>1212</v>
      </c>
      <c r="I793" s="1">
        <v>0.01</v>
      </c>
      <c r="J793" s="2">
        <v>1199.8800000000001</v>
      </c>
      <c r="K793" s="1">
        <v>44283</v>
      </c>
      <c r="L793" s="1">
        <v>44283</v>
      </c>
      <c r="M793">
        <v>792</v>
      </c>
      <c r="N793">
        <v>3</v>
      </c>
      <c r="O793" t="s">
        <v>18</v>
      </c>
      <c r="P793" s="3">
        <v>7.0000000000000007E-2</v>
      </c>
      <c r="Q793" s="2">
        <v>83.99160000000002</v>
      </c>
      <c r="R793">
        <v>1</v>
      </c>
      <c r="S793" t="str">
        <f t="shared" si="12"/>
        <v>Março</v>
      </c>
    </row>
    <row r="794" spans="1:19" hidden="1" x14ac:dyDescent="0.3">
      <c r="A794">
        <v>793</v>
      </c>
      <c r="B794" s="1">
        <v>44261</v>
      </c>
      <c r="C794">
        <v>91</v>
      </c>
      <c r="D794" t="s">
        <v>49</v>
      </c>
      <c r="E794" t="s">
        <v>96</v>
      </c>
      <c r="F794">
        <v>49</v>
      </c>
      <c r="G794" s="2">
        <v>112</v>
      </c>
      <c r="H794" s="2">
        <v>5488</v>
      </c>
      <c r="I794" s="1">
        <v>0.02</v>
      </c>
      <c r="J794" s="2">
        <v>5378.24</v>
      </c>
      <c r="K794" s="1">
        <v>44272</v>
      </c>
      <c r="L794" s="1">
        <v>44272</v>
      </c>
      <c r="M794">
        <v>793</v>
      </c>
      <c r="N794">
        <v>2</v>
      </c>
      <c r="O794" t="s">
        <v>25</v>
      </c>
      <c r="P794" s="3">
        <v>0.1</v>
      </c>
      <c r="Q794" s="2">
        <v>537.82399999999996</v>
      </c>
      <c r="R794">
        <v>2</v>
      </c>
      <c r="S794" t="str">
        <f t="shared" si="12"/>
        <v>Março</v>
      </c>
    </row>
    <row r="795" spans="1:19" hidden="1" x14ac:dyDescent="0.3">
      <c r="A795">
        <v>794</v>
      </c>
      <c r="B795" s="1">
        <v>44261</v>
      </c>
      <c r="C795">
        <v>93</v>
      </c>
      <c r="D795" t="s">
        <v>26</v>
      </c>
      <c r="E795" t="s">
        <v>96</v>
      </c>
      <c r="F795">
        <v>30</v>
      </c>
      <c r="G795" s="2">
        <v>90</v>
      </c>
      <c r="H795" s="2">
        <v>2700</v>
      </c>
      <c r="I795" s="1">
        <v>0.02</v>
      </c>
      <c r="J795" s="2">
        <v>2646</v>
      </c>
      <c r="K795" s="1">
        <v>44289</v>
      </c>
      <c r="L795" s="1">
        <v>44289</v>
      </c>
      <c r="M795">
        <v>794</v>
      </c>
      <c r="N795">
        <v>5</v>
      </c>
      <c r="O795" t="s">
        <v>56</v>
      </c>
      <c r="P795" s="3">
        <v>0.05</v>
      </c>
      <c r="Q795" s="2">
        <v>132.30000000000001</v>
      </c>
      <c r="R795">
        <v>3</v>
      </c>
      <c r="S795" t="str">
        <f t="shared" si="12"/>
        <v>Março</v>
      </c>
    </row>
    <row r="796" spans="1:19" hidden="1" x14ac:dyDescent="0.3">
      <c r="A796">
        <v>795</v>
      </c>
      <c r="B796" s="1">
        <v>44261</v>
      </c>
      <c r="C796">
        <v>6</v>
      </c>
      <c r="D796" t="s">
        <v>75</v>
      </c>
      <c r="E796" t="s">
        <v>97</v>
      </c>
      <c r="F796">
        <v>41</v>
      </c>
      <c r="G796" s="2">
        <v>110</v>
      </c>
      <c r="H796" s="2">
        <v>4510</v>
      </c>
      <c r="I796" s="1">
        <v>0.1</v>
      </c>
      <c r="J796" s="2">
        <v>4059</v>
      </c>
      <c r="K796" s="1">
        <v>44264</v>
      </c>
      <c r="M796">
        <v>795</v>
      </c>
      <c r="N796">
        <v>3</v>
      </c>
      <c r="O796" t="s">
        <v>30</v>
      </c>
      <c r="P796" s="3">
        <v>0.06</v>
      </c>
      <c r="Q796" s="2">
        <v>243.54</v>
      </c>
      <c r="R796">
        <v>4</v>
      </c>
      <c r="S796" t="str">
        <f t="shared" si="12"/>
        <v>Março</v>
      </c>
    </row>
    <row r="797" spans="1:19" hidden="1" x14ac:dyDescent="0.3">
      <c r="A797">
        <v>796</v>
      </c>
      <c r="B797" s="1">
        <v>44261</v>
      </c>
      <c r="C797">
        <v>11</v>
      </c>
      <c r="D797" t="s">
        <v>47</v>
      </c>
      <c r="E797" t="s">
        <v>104</v>
      </c>
      <c r="F797">
        <v>23</v>
      </c>
      <c r="G797" s="2">
        <v>114</v>
      </c>
      <c r="H797" s="2">
        <v>2622</v>
      </c>
      <c r="I797" s="1">
        <v>0.15</v>
      </c>
      <c r="J797" s="2">
        <v>2228.6999999999998</v>
      </c>
      <c r="K797" s="1">
        <v>44268</v>
      </c>
      <c r="L797" s="1">
        <v>44268</v>
      </c>
      <c r="M797">
        <v>796</v>
      </c>
      <c r="N797">
        <v>6</v>
      </c>
      <c r="O797" t="s">
        <v>18</v>
      </c>
      <c r="P797" s="3">
        <v>7.0000000000000007E-2</v>
      </c>
      <c r="Q797" s="2">
        <v>156.00900000000001</v>
      </c>
      <c r="R797">
        <v>5</v>
      </c>
      <c r="S797" t="str">
        <f t="shared" si="12"/>
        <v>Março</v>
      </c>
    </row>
    <row r="798" spans="1:19" hidden="1" x14ac:dyDescent="0.3">
      <c r="A798">
        <v>797</v>
      </c>
      <c r="B798" s="1">
        <v>44261</v>
      </c>
      <c r="C798">
        <v>15</v>
      </c>
      <c r="D798" t="s">
        <v>64</v>
      </c>
      <c r="E798" t="s">
        <v>98</v>
      </c>
      <c r="F798">
        <v>29</v>
      </c>
      <c r="G798" s="2">
        <v>107</v>
      </c>
      <c r="H798" s="2">
        <v>3103</v>
      </c>
      <c r="I798" s="1">
        <v>0.15</v>
      </c>
      <c r="J798" s="2">
        <v>2637.55</v>
      </c>
      <c r="K798" s="1">
        <v>44281</v>
      </c>
      <c r="L798" s="1">
        <v>44281</v>
      </c>
      <c r="M798">
        <v>797</v>
      </c>
      <c r="N798">
        <v>2</v>
      </c>
      <c r="O798" t="s">
        <v>23</v>
      </c>
      <c r="P798" s="3">
        <v>0.06</v>
      </c>
      <c r="Q798" s="2">
        <v>158.25300000000001</v>
      </c>
      <c r="R798">
        <v>6</v>
      </c>
      <c r="S798" t="str">
        <f t="shared" si="12"/>
        <v>Março</v>
      </c>
    </row>
    <row r="799" spans="1:19" hidden="1" x14ac:dyDescent="0.3">
      <c r="A799">
        <v>798</v>
      </c>
      <c r="B799" s="1">
        <v>44262</v>
      </c>
      <c r="C799">
        <v>89</v>
      </c>
      <c r="D799" t="s">
        <v>40</v>
      </c>
      <c r="E799" t="s">
        <v>103</v>
      </c>
      <c r="F799">
        <v>39</v>
      </c>
      <c r="G799" s="2">
        <v>109</v>
      </c>
      <c r="H799" s="2">
        <v>4251</v>
      </c>
      <c r="I799" s="1">
        <v>0</v>
      </c>
      <c r="J799" s="2">
        <v>4251</v>
      </c>
      <c r="K799" s="1">
        <v>44267</v>
      </c>
      <c r="L799" s="1">
        <v>44267</v>
      </c>
      <c r="M799">
        <v>798</v>
      </c>
      <c r="N799">
        <v>5</v>
      </c>
      <c r="O799" t="s">
        <v>56</v>
      </c>
      <c r="P799" s="3">
        <v>0.08</v>
      </c>
      <c r="Q799" s="2">
        <v>340.08</v>
      </c>
      <c r="R799">
        <v>7</v>
      </c>
      <c r="S799" t="str">
        <f t="shared" si="12"/>
        <v>Março</v>
      </c>
    </row>
    <row r="800" spans="1:19" hidden="1" x14ac:dyDescent="0.3">
      <c r="A800">
        <v>799</v>
      </c>
      <c r="B800" s="1">
        <v>44262</v>
      </c>
      <c r="C800">
        <v>15</v>
      </c>
      <c r="D800" t="s">
        <v>64</v>
      </c>
      <c r="E800" t="s">
        <v>99</v>
      </c>
      <c r="F800">
        <v>27</v>
      </c>
      <c r="G800" s="2">
        <v>109</v>
      </c>
      <c r="H800" s="2">
        <v>2943</v>
      </c>
      <c r="I800" s="1">
        <v>0.05</v>
      </c>
      <c r="J800" s="2">
        <v>2795.85</v>
      </c>
      <c r="K800" s="1">
        <v>44277</v>
      </c>
      <c r="L800" s="1">
        <v>44277</v>
      </c>
      <c r="M800">
        <v>799</v>
      </c>
      <c r="N800">
        <v>5</v>
      </c>
      <c r="O800" t="s">
        <v>42</v>
      </c>
      <c r="P800" s="3">
        <v>7.0000000000000007E-2</v>
      </c>
      <c r="Q800" s="2">
        <v>195.70950000000002</v>
      </c>
      <c r="R800">
        <v>1</v>
      </c>
      <c r="S800" t="str">
        <f t="shared" si="12"/>
        <v>Março</v>
      </c>
    </row>
    <row r="801" spans="1:19" hidden="1" x14ac:dyDescent="0.3">
      <c r="A801">
        <v>800</v>
      </c>
      <c r="B801" s="1">
        <v>44262</v>
      </c>
      <c r="C801">
        <v>61</v>
      </c>
      <c r="D801" t="s">
        <v>44</v>
      </c>
      <c r="E801" t="s">
        <v>104</v>
      </c>
      <c r="F801">
        <v>25</v>
      </c>
      <c r="G801" s="2">
        <v>119</v>
      </c>
      <c r="H801" s="2">
        <v>2975</v>
      </c>
      <c r="I801" s="1">
        <v>0.05</v>
      </c>
      <c r="J801" s="2">
        <v>2826.25</v>
      </c>
      <c r="K801" s="1">
        <v>44269</v>
      </c>
      <c r="L801" s="1">
        <v>44269</v>
      </c>
      <c r="M801">
        <v>800</v>
      </c>
      <c r="N801">
        <v>4</v>
      </c>
      <c r="O801" t="s">
        <v>30</v>
      </c>
      <c r="P801" s="3">
        <v>0.09</v>
      </c>
      <c r="Q801" s="2">
        <v>254.36249999999998</v>
      </c>
      <c r="R801">
        <v>2</v>
      </c>
      <c r="S801" t="str">
        <f t="shared" si="12"/>
        <v>Março</v>
      </c>
    </row>
    <row r="802" spans="1:19" hidden="1" x14ac:dyDescent="0.3">
      <c r="A802">
        <v>801</v>
      </c>
      <c r="B802" s="1">
        <v>44262</v>
      </c>
      <c r="C802">
        <v>3</v>
      </c>
      <c r="D802" t="s">
        <v>78</v>
      </c>
      <c r="E802" t="s">
        <v>102</v>
      </c>
      <c r="F802">
        <v>19</v>
      </c>
      <c r="G802" s="2">
        <v>98</v>
      </c>
      <c r="H802" s="2">
        <v>1862</v>
      </c>
      <c r="I802" s="1">
        <v>0.02</v>
      </c>
      <c r="J802" s="2">
        <v>1824.76</v>
      </c>
      <c r="K802" s="1">
        <v>44289</v>
      </c>
      <c r="L802" s="1">
        <v>44289</v>
      </c>
      <c r="M802">
        <v>801</v>
      </c>
      <c r="N802">
        <v>5</v>
      </c>
      <c r="O802" t="s">
        <v>20</v>
      </c>
      <c r="P802" s="3">
        <v>7.0000000000000007E-2</v>
      </c>
      <c r="Q802" s="2">
        <v>127.73320000000001</v>
      </c>
      <c r="R802">
        <v>3</v>
      </c>
      <c r="S802" t="str">
        <f t="shared" si="12"/>
        <v>Março</v>
      </c>
    </row>
    <row r="803" spans="1:19" hidden="1" x14ac:dyDescent="0.3">
      <c r="A803">
        <v>802</v>
      </c>
      <c r="B803" s="1">
        <v>44262</v>
      </c>
      <c r="C803">
        <v>22</v>
      </c>
      <c r="D803" t="s">
        <v>41</v>
      </c>
      <c r="E803" t="s">
        <v>98</v>
      </c>
      <c r="F803">
        <v>10</v>
      </c>
      <c r="G803" s="2">
        <v>97</v>
      </c>
      <c r="H803" s="2">
        <v>970</v>
      </c>
      <c r="I803" s="1">
        <v>0.01</v>
      </c>
      <c r="J803" s="2">
        <v>960.3</v>
      </c>
      <c r="K803" s="1">
        <v>44267</v>
      </c>
      <c r="L803" s="1">
        <v>44267</v>
      </c>
      <c r="M803">
        <v>802</v>
      </c>
      <c r="N803">
        <v>7</v>
      </c>
      <c r="O803" t="s">
        <v>30</v>
      </c>
      <c r="P803" s="3">
        <v>0.1</v>
      </c>
      <c r="Q803" s="2">
        <v>96.03</v>
      </c>
      <c r="R803">
        <v>4</v>
      </c>
      <c r="S803" t="str">
        <f t="shared" si="12"/>
        <v>Março</v>
      </c>
    </row>
    <row r="804" spans="1:19" hidden="1" x14ac:dyDescent="0.3">
      <c r="A804">
        <v>803</v>
      </c>
      <c r="B804" s="1">
        <v>44264</v>
      </c>
      <c r="C804">
        <v>87</v>
      </c>
      <c r="D804" t="s">
        <v>33</v>
      </c>
      <c r="E804" t="s">
        <v>97</v>
      </c>
      <c r="F804">
        <v>25</v>
      </c>
      <c r="G804" s="2">
        <v>119</v>
      </c>
      <c r="H804" s="2">
        <v>2975</v>
      </c>
      <c r="I804" s="1">
        <v>0.01</v>
      </c>
      <c r="J804" s="2">
        <v>2945.25</v>
      </c>
      <c r="K804" s="1">
        <v>44287</v>
      </c>
      <c r="L804" s="1">
        <v>44287</v>
      </c>
      <c r="M804">
        <v>803</v>
      </c>
      <c r="N804">
        <v>3</v>
      </c>
      <c r="O804" t="s">
        <v>23</v>
      </c>
      <c r="P804" s="3">
        <v>0.05</v>
      </c>
      <c r="Q804" s="2">
        <v>147.26250000000002</v>
      </c>
      <c r="R804">
        <v>5</v>
      </c>
      <c r="S804" t="str">
        <f t="shared" si="12"/>
        <v>Março</v>
      </c>
    </row>
    <row r="805" spans="1:19" hidden="1" x14ac:dyDescent="0.3">
      <c r="A805">
        <v>804</v>
      </c>
      <c r="B805" s="1">
        <v>44264</v>
      </c>
      <c r="C805">
        <v>26</v>
      </c>
      <c r="D805" t="s">
        <v>82</v>
      </c>
      <c r="E805" t="s">
        <v>97</v>
      </c>
      <c r="F805">
        <v>45</v>
      </c>
      <c r="G805" s="2">
        <v>116</v>
      </c>
      <c r="H805" s="2">
        <v>5220</v>
      </c>
      <c r="I805" s="1">
        <v>0.15</v>
      </c>
      <c r="J805" s="2">
        <v>4437</v>
      </c>
      <c r="K805" s="1">
        <v>44273</v>
      </c>
      <c r="L805" s="1">
        <v>44273</v>
      </c>
      <c r="M805">
        <v>804</v>
      </c>
      <c r="N805">
        <v>1</v>
      </c>
      <c r="O805" t="s">
        <v>25</v>
      </c>
      <c r="P805" s="3">
        <v>0.06</v>
      </c>
      <c r="Q805" s="2">
        <v>266.21999999999997</v>
      </c>
      <c r="R805">
        <v>6</v>
      </c>
      <c r="S805" t="str">
        <f t="shared" si="12"/>
        <v>Março</v>
      </c>
    </row>
    <row r="806" spans="1:19" hidden="1" x14ac:dyDescent="0.3">
      <c r="A806">
        <v>805</v>
      </c>
      <c r="B806" s="1">
        <v>44264</v>
      </c>
      <c r="C806">
        <v>3</v>
      </c>
      <c r="D806" t="s">
        <v>78</v>
      </c>
      <c r="E806" t="s">
        <v>104</v>
      </c>
      <c r="F806">
        <v>39</v>
      </c>
      <c r="G806" s="2">
        <v>115</v>
      </c>
      <c r="H806" s="2">
        <v>4485</v>
      </c>
      <c r="I806" s="1">
        <v>0.14000000000000001</v>
      </c>
      <c r="J806" s="2">
        <v>3857.1</v>
      </c>
      <c r="K806" s="1">
        <v>44273</v>
      </c>
      <c r="L806" s="1">
        <v>44273</v>
      </c>
      <c r="M806">
        <v>805</v>
      </c>
      <c r="N806">
        <v>6</v>
      </c>
      <c r="O806" t="s">
        <v>23</v>
      </c>
      <c r="P806" s="3">
        <v>0.06</v>
      </c>
      <c r="Q806" s="2">
        <v>231.42599999999999</v>
      </c>
      <c r="R806">
        <v>7</v>
      </c>
      <c r="S806" t="str">
        <f t="shared" si="12"/>
        <v>Março</v>
      </c>
    </row>
    <row r="807" spans="1:19" hidden="1" x14ac:dyDescent="0.3">
      <c r="A807">
        <v>806</v>
      </c>
      <c r="B807" s="1">
        <v>44265</v>
      </c>
      <c r="C807">
        <v>68</v>
      </c>
      <c r="D807" t="s">
        <v>40</v>
      </c>
      <c r="E807" t="s">
        <v>103</v>
      </c>
      <c r="F807">
        <v>48</v>
      </c>
      <c r="G807" s="2">
        <v>112</v>
      </c>
      <c r="H807" s="2">
        <v>5376</v>
      </c>
      <c r="I807" s="1">
        <v>0.09</v>
      </c>
      <c r="J807" s="2">
        <v>4892.16</v>
      </c>
      <c r="K807" s="1">
        <v>44280</v>
      </c>
      <c r="L807" s="1">
        <v>44280</v>
      </c>
      <c r="M807">
        <v>806</v>
      </c>
      <c r="N807">
        <v>1</v>
      </c>
      <c r="O807" t="s">
        <v>30</v>
      </c>
      <c r="P807" s="3">
        <v>7.0000000000000007E-2</v>
      </c>
      <c r="Q807" s="2">
        <v>342.45120000000003</v>
      </c>
      <c r="R807">
        <v>1</v>
      </c>
      <c r="S807" t="str">
        <f t="shared" si="12"/>
        <v>Março</v>
      </c>
    </row>
    <row r="808" spans="1:19" hidden="1" x14ac:dyDescent="0.3">
      <c r="A808">
        <v>807</v>
      </c>
      <c r="B808" s="1">
        <v>44265</v>
      </c>
      <c r="C808">
        <v>46</v>
      </c>
      <c r="D808" t="s">
        <v>81</v>
      </c>
      <c r="E808" t="s">
        <v>98</v>
      </c>
      <c r="F808">
        <v>38</v>
      </c>
      <c r="G808" s="2">
        <v>102</v>
      </c>
      <c r="H808" s="2">
        <v>3876</v>
      </c>
      <c r="I808" s="1">
        <v>0.08</v>
      </c>
      <c r="J808" s="2">
        <v>3565.92</v>
      </c>
      <c r="K808" s="1">
        <v>44269</v>
      </c>
      <c r="L808" s="1">
        <v>44269</v>
      </c>
      <c r="M808">
        <v>807</v>
      </c>
      <c r="N808">
        <v>7</v>
      </c>
      <c r="O808" t="s">
        <v>42</v>
      </c>
      <c r="P808" s="3">
        <v>0.09</v>
      </c>
      <c r="Q808" s="2">
        <v>320.93279999999999</v>
      </c>
      <c r="R808">
        <v>2</v>
      </c>
      <c r="S808" t="str">
        <f t="shared" si="12"/>
        <v>Março</v>
      </c>
    </row>
    <row r="809" spans="1:19" x14ac:dyDescent="0.3">
      <c r="A809">
        <v>808</v>
      </c>
      <c r="B809" s="1">
        <v>44265</v>
      </c>
      <c r="C809">
        <v>37</v>
      </c>
      <c r="D809" t="s">
        <v>39</v>
      </c>
      <c r="E809" t="s">
        <v>95</v>
      </c>
      <c r="F809">
        <v>14</v>
      </c>
      <c r="G809" s="2">
        <v>113</v>
      </c>
      <c r="H809" s="2">
        <v>1582</v>
      </c>
      <c r="I809" s="1">
        <v>0.01</v>
      </c>
      <c r="J809" s="2">
        <v>1566.18</v>
      </c>
      <c r="K809" s="1">
        <v>44291</v>
      </c>
      <c r="M809">
        <v>808</v>
      </c>
      <c r="N809">
        <v>3</v>
      </c>
      <c r="O809" t="s">
        <v>35</v>
      </c>
      <c r="P809" s="3">
        <v>0.05</v>
      </c>
      <c r="Q809" s="2">
        <v>78.309000000000012</v>
      </c>
      <c r="R809">
        <v>3</v>
      </c>
      <c r="S809" t="str">
        <f t="shared" si="12"/>
        <v>Março</v>
      </c>
    </row>
    <row r="810" spans="1:19" hidden="1" x14ac:dyDescent="0.3">
      <c r="A810">
        <v>809</v>
      </c>
      <c r="B810" s="1">
        <v>44265</v>
      </c>
      <c r="C810">
        <v>11</v>
      </c>
      <c r="D810" t="s">
        <v>47</v>
      </c>
      <c r="E810" t="s">
        <v>98</v>
      </c>
      <c r="F810">
        <v>27</v>
      </c>
      <c r="G810" s="2">
        <v>104</v>
      </c>
      <c r="H810" s="2">
        <v>2808</v>
      </c>
      <c r="I810" s="1">
        <v>0.02</v>
      </c>
      <c r="J810" s="2">
        <v>2751.84</v>
      </c>
      <c r="K810" s="1">
        <v>44276</v>
      </c>
      <c r="L810" s="1">
        <v>44276</v>
      </c>
      <c r="M810">
        <v>809</v>
      </c>
      <c r="N810">
        <v>3</v>
      </c>
      <c r="O810" t="s">
        <v>20</v>
      </c>
      <c r="P810" s="3">
        <v>0.08</v>
      </c>
      <c r="Q810" s="2">
        <v>220.14720000000003</v>
      </c>
      <c r="R810">
        <v>4</v>
      </c>
      <c r="S810" t="str">
        <f t="shared" si="12"/>
        <v>Março</v>
      </c>
    </row>
    <row r="811" spans="1:19" hidden="1" x14ac:dyDescent="0.3">
      <c r="A811">
        <v>810</v>
      </c>
      <c r="B811" s="1">
        <v>44266</v>
      </c>
      <c r="C811">
        <v>100</v>
      </c>
      <c r="D811" t="s">
        <v>31</v>
      </c>
      <c r="E811" t="s">
        <v>101</v>
      </c>
      <c r="F811">
        <v>48</v>
      </c>
      <c r="G811" s="2">
        <v>96</v>
      </c>
      <c r="H811" s="2">
        <v>4608</v>
      </c>
      <c r="I811" s="1">
        <v>0.06</v>
      </c>
      <c r="J811" s="2">
        <v>4331.5200000000004</v>
      </c>
      <c r="K811" s="1">
        <v>44282</v>
      </c>
      <c r="L811" s="1">
        <v>44282</v>
      </c>
      <c r="M811">
        <v>810</v>
      </c>
      <c r="N811">
        <v>5</v>
      </c>
      <c r="O811" t="s">
        <v>42</v>
      </c>
      <c r="P811" s="3">
        <v>0.05</v>
      </c>
      <c r="Q811" s="2">
        <v>216.57600000000002</v>
      </c>
      <c r="R811">
        <v>5</v>
      </c>
      <c r="S811" t="str">
        <f t="shared" si="12"/>
        <v>Março</v>
      </c>
    </row>
    <row r="812" spans="1:19" x14ac:dyDescent="0.3">
      <c r="A812">
        <v>811</v>
      </c>
      <c r="B812" s="1">
        <v>44267</v>
      </c>
      <c r="C812">
        <v>75</v>
      </c>
      <c r="D812" t="s">
        <v>31</v>
      </c>
      <c r="E812" t="s">
        <v>103</v>
      </c>
      <c r="F812">
        <v>22</v>
      </c>
      <c r="G812" s="2">
        <v>101</v>
      </c>
      <c r="H812" s="2">
        <v>2222</v>
      </c>
      <c r="I812" s="1">
        <v>0.02</v>
      </c>
      <c r="J812" s="2">
        <v>2177.56</v>
      </c>
      <c r="K812" s="1">
        <v>44289</v>
      </c>
      <c r="L812" s="1">
        <v>44289</v>
      </c>
      <c r="M812">
        <v>811</v>
      </c>
      <c r="N812">
        <v>7</v>
      </c>
      <c r="O812" t="s">
        <v>35</v>
      </c>
      <c r="P812" s="3">
        <v>0.1</v>
      </c>
      <c r="Q812" s="2">
        <v>217.756</v>
      </c>
      <c r="R812">
        <v>6</v>
      </c>
      <c r="S812" t="str">
        <f t="shared" si="12"/>
        <v>Março</v>
      </c>
    </row>
    <row r="813" spans="1:19" hidden="1" x14ac:dyDescent="0.3">
      <c r="A813">
        <v>812</v>
      </c>
      <c r="B813" s="1">
        <v>44267</v>
      </c>
      <c r="C813">
        <v>35</v>
      </c>
      <c r="D813" t="s">
        <v>31</v>
      </c>
      <c r="E813" t="s">
        <v>102</v>
      </c>
      <c r="F813">
        <v>30</v>
      </c>
      <c r="G813" s="2">
        <v>118</v>
      </c>
      <c r="H813" s="2">
        <v>3540</v>
      </c>
      <c r="I813" s="1">
        <v>0.01</v>
      </c>
      <c r="J813" s="2">
        <v>3504.6</v>
      </c>
      <c r="K813" s="1">
        <v>44271</v>
      </c>
      <c r="L813" s="1">
        <v>44271</v>
      </c>
      <c r="M813">
        <v>812</v>
      </c>
      <c r="N813">
        <v>1</v>
      </c>
      <c r="O813" t="s">
        <v>20</v>
      </c>
      <c r="P813" s="3">
        <v>0.06</v>
      </c>
      <c r="Q813" s="2">
        <v>210.27599999999998</v>
      </c>
      <c r="R813">
        <v>7</v>
      </c>
      <c r="S813" t="str">
        <f t="shared" si="12"/>
        <v>Março</v>
      </c>
    </row>
    <row r="814" spans="1:19" hidden="1" x14ac:dyDescent="0.3">
      <c r="A814">
        <v>813</v>
      </c>
      <c r="B814" s="1">
        <v>44268</v>
      </c>
      <c r="C814">
        <v>26</v>
      </c>
      <c r="D814" t="s">
        <v>82</v>
      </c>
      <c r="E814" t="s">
        <v>95</v>
      </c>
      <c r="F814">
        <v>17</v>
      </c>
      <c r="G814" s="2">
        <v>111</v>
      </c>
      <c r="H814" s="2">
        <v>1887</v>
      </c>
      <c r="I814" s="1">
        <v>0</v>
      </c>
      <c r="J814" s="2">
        <v>1887</v>
      </c>
      <c r="K814" s="1">
        <v>44273</v>
      </c>
      <c r="L814" s="1">
        <v>44273</v>
      </c>
      <c r="M814">
        <v>813</v>
      </c>
      <c r="N814">
        <v>5</v>
      </c>
      <c r="O814" t="s">
        <v>42</v>
      </c>
      <c r="P814" s="3">
        <v>0.05</v>
      </c>
      <c r="Q814" s="2">
        <v>94.350000000000009</v>
      </c>
      <c r="R814">
        <v>1</v>
      </c>
      <c r="S814" t="str">
        <f t="shared" si="12"/>
        <v>Março</v>
      </c>
    </row>
    <row r="815" spans="1:19" hidden="1" x14ac:dyDescent="0.3">
      <c r="A815">
        <v>814</v>
      </c>
      <c r="B815" s="1">
        <v>44268</v>
      </c>
      <c r="C815">
        <v>49</v>
      </c>
      <c r="D815" t="s">
        <v>31</v>
      </c>
      <c r="E815" t="s">
        <v>96</v>
      </c>
      <c r="F815">
        <v>14</v>
      </c>
      <c r="G815" s="2">
        <v>113</v>
      </c>
      <c r="H815" s="2">
        <v>1582</v>
      </c>
      <c r="I815" s="1">
        <v>0.11</v>
      </c>
      <c r="J815" s="2">
        <v>1407.98</v>
      </c>
      <c r="K815" s="1">
        <v>44268</v>
      </c>
      <c r="L815" s="1">
        <v>44268</v>
      </c>
      <c r="M815">
        <v>814</v>
      </c>
      <c r="N815">
        <v>3</v>
      </c>
      <c r="O815" t="s">
        <v>23</v>
      </c>
      <c r="P815" s="3">
        <v>7.0000000000000007E-2</v>
      </c>
      <c r="Q815" s="2">
        <v>98.558600000000013</v>
      </c>
      <c r="R815">
        <v>2</v>
      </c>
      <c r="S815" t="str">
        <f t="shared" si="12"/>
        <v>Março</v>
      </c>
    </row>
    <row r="816" spans="1:19" hidden="1" x14ac:dyDescent="0.3">
      <c r="A816">
        <v>815</v>
      </c>
      <c r="B816" s="1">
        <v>44269</v>
      </c>
      <c r="C816">
        <v>14</v>
      </c>
      <c r="D816" t="s">
        <v>22</v>
      </c>
      <c r="E816" t="s">
        <v>97</v>
      </c>
      <c r="F816">
        <v>15</v>
      </c>
      <c r="G816" s="2">
        <v>118</v>
      </c>
      <c r="H816" s="2">
        <v>1770</v>
      </c>
      <c r="I816" s="1">
        <v>0.14000000000000001</v>
      </c>
      <c r="J816" s="2">
        <v>1522.2</v>
      </c>
      <c r="K816" s="1">
        <v>44279</v>
      </c>
      <c r="L816" s="1">
        <v>44279</v>
      </c>
      <c r="M816">
        <v>815</v>
      </c>
      <c r="N816">
        <v>3</v>
      </c>
      <c r="O816" t="s">
        <v>25</v>
      </c>
      <c r="P816" s="3">
        <v>0.09</v>
      </c>
      <c r="Q816" s="2">
        <v>136.99799999999999</v>
      </c>
      <c r="R816">
        <v>3</v>
      </c>
      <c r="S816" t="str">
        <f t="shared" si="12"/>
        <v>Março</v>
      </c>
    </row>
    <row r="817" spans="1:19" hidden="1" x14ac:dyDescent="0.3">
      <c r="A817">
        <v>816</v>
      </c>
      <c r="B817" s="1">
        <v>44270</v>
      </c>
      <c r="C817">
        <v>69</v>
      </c>
      <c r="D817" t="s">
        <v>54</v>
      </c>
      <c r="E817" t="s">
        <v>98</v>
      </c>
      <c r="F817">
        <v>10</v>
      </c>
      <c r="G817" s="2">
        <v>100</v>
      </c>
      <c r="H817" s="2">
        <v>1000</v>
      </c>
      <c r="I817" s="1">
        <v>0.08</v>
      </c>
      <c r="J817" s="2">
        <v>920</v>
      </c>
      <c r="K817" s="1">
        <v>44297</v>
      </c>
      <c r="L817" s="1">
        <v>44297</v>
      </c>
      <c r="M817">
        <v>816</v>
      </c>
      <c r="N817">
        <v>2</v>
      </c>
      <c r="O817" t="s">
        <v>42</v>
      </c>
      <c r="P817" s="3">
        <v>0.08</v>
      </c>
      <c r="Q817" s="2">
        <v>73.600000000000009</v>
      </c>
      <c r="R817">
        <v>4</v>
      </c>
      <c r="S817" t="str">
        <f t="shared" si="12"/>
        <v>Março</v>
      </c>
    </row>
    <row r="818" spans="1:19" x14ac:dyDescent="0.3">
      <c r="A818">
        <v>817</v>
      </c>
      <c r="B818" s="1">
        <v>44271</v>
      </c>
      <c r="C818">
        <v>66</v>
      </c>
      <c r="D818" t="s">
        <v>24</v>
      </c>
      <c r="E818" t="s">
        <v>95</v>
      </c>
      <c r="F818">
        <v>48</v>
      </c>
      <c r="G818" s="2">
        <v>102</v>
      </c>
      <c r="H818" s="2">
        <v>4896</v>
      </c>
      <c r="I818" s="1">
        <v>0.05</v>
      </c>
      <c r="J818" s="2">
        <v>4651.2</v>
      </c>
      <c r="K818" s="1">
        <v>44291</v>
      </c>
      <c r="L818" s="1">
        <v>44291</v>
      </c>
      <c r="M818">
        <v>817</v>
      </c>
      <c r="N818">
        <v>1</v>
      </c>
      <c r="O818" t="s">
        <v>35</v>
      </c>
      <c r="P818" s="3">
        <v>0.08</v>
      </c>
      <c r="Q818" s="2">
        <v>372.096</v>
      </c>
      <c r="R818">
        <v>5</v>
      </c>
      <c r="S818" t="str">
        <f t="shared" si="12"/>
        <v>Março</v>
      </c>
    </row>
    <row r="819" spans="1:19" hidden="1" x14ac:dyDescent="0.3">
      <c r="A819">
        <v>818</v>
      </c>
      <c r="B819" s="1">
        <v>44271</v>
      </c>
      <c r="C819">
        <v>21</v>
      </c>
      <c r="D819" t="s">
        <v>74</v>
      </c>
      <c r="E819" t="s">
        <v>99</v>
      </c>
      <c r="F819">
        <v>11</v>
      </c>
      <c r="G819" s="2">
        <v>92</v>
      </c>
      <c r="H819" s="2">
        <v>1012</v>
      </c>
      <c r="I819" s="1">
        <v>0.14000000000000001</v>
      </c>
      <c r="J819" s="2">
        <v>870.31999999999994</v>
      </c>
      <c r="K819" s="1">
        <v>44288</v>
      </c>
      <c r="L819" s="1">
        <v>44288</v>
      </c>
      <c r="M819">
        <v>818</v>
      </c>
      <c r="N819">
        <v>5</v>
      </c>
      <c r="O819" t="s">
        <v>27</v>
      </c>
      <c r="P819" s="3">
        <v>7.0000000000000007E-2</v>
      </c>
      <c r="Q819" s="2">
        <v>60.922400000000003</v>
      </c>
      <c r="R819">
        <v>6</v>
      </c>
      <c r="S819" t="str">
        <f t="shared" si="12"/>
        <v>Março</v>
      </c>
    </row>
    <row r="820" spans="1:19" hidden="1" x14ac:dyDescent="0.3">
      <c r="A820">
        <v>819</v>
      </c>
      <c r="B820" s="1">
        <v>44271</v>
      </c>
      <c r="C820">
        <v>50</v>
      </c>
      <c r="D820" t="s">
        <v>68</v>
      </c>
      <c r="E820" t="s">
        <v>95</v>
      </c>
      <c r="F820">
        <v>23</v>
      </c>
      <c r="G820" s="2">
        <v>119</v>
      </c>
      <c r="H820" s="2">
        <v>2737</v>
      </c>
      <c r="I820" s="1">
        <v>0.02</v>
      </c>
      <c r="J820" s="2">
        <v>2682.26</v>
      </c>
      <c r="K820" s="1">
        <v>44284</v>
      </c>
      <c r="L820" s="1">
        <v>44284</v>
      </c>
      <c r="M820">
        <v>819</v>
      </c>
      <c r="N820">
        <v>4</v>
      </c>
      <c r="O820" t="s">
        <v>30</v>
      </c>
      <c r="P820" s="3">
        <v>0.08</v>
      </c>
      <c r="Q820" s="2">
        <v>214.58080000000001</v>
      </c>
      <c r="R820">
        <v>7</v>
      </c>
      <c r="S820" t="str">
        <f t="shared" si="12"/>
        <v>Março</v>
      </c>
    </row>
    <row r="821" spans="1:19" hidden="1" x14ac:dyDescent="0.3">
      <c r="A821">
        <v>820</v>
      </c>
      <c r="B821" s="1">
        <v>44272</v>
      </c>
      <c r="C821">
        <v>87</v>
      </c>
      <c r="D821" t="s">
        <v>33</v>
      </c>
      <c r="E821" t="s">
        <v>99</v>
      </c>
      <c r="F821">
        <v>14</v>
      </c>
      <c r="G821" s="2">
        <v>117</v>
      </c>
      <c r="H821" s="2">
        <v>1638</v>
      </c>
      <c r="I821" s="1">
        <v>0.09</v>
      </c>
      <c r="J821" s="2">
        <v>1490.58</v>
      </c>
      <c r="K821" s="1">
        <v>44290</v>
      </c>
      <c r="L821" s="1">
        <v>44290</v>
      </c>
      <c r="M821">
        <v>820</v>
      </c>
      <c r="N821">
        <v>3</v>
      </c>
      <c r="O821" t="s">
        <v>42</v>
      </c>
      <c r="P821" s="3">
        <v>0.06</v>
      </c>
      <c r="Q821" s="2">
        <v>89.434799999999996</v>
      </c>
      <c r="R821">
        <v>1</v>
      </c>
      <c r="S821" t="str">
        <f t="shared" si="12"/>
        <v>Março</v>
      </c>
    </row>
    <row r="822" spans="1:19" hidden="1" x14ac:dyDescent="0.3">
      <c r="A822">
        <v>821</v>
      </c>
      <c r="B822" s="1">
        <v>44273</v>
      </c>
      <c r="C822">
        <v>19</v>
      </c>
      <c r="D822" t="s">
        <v>31</v>
      </c>
      <c r="E822" t="s">
        <v>98</v>
      </c>
      <c r="F822">
        <v>45</v>
      </c>
      <c r="G822" s="2">
        <v>96</v>
      </c>
      <c r="H822" s="2">
        <v>4320</v>
      </c>
      <c r="I822" s="1">
        <v>0.1</v>
      </c>
      <c r="J822" s="2">
        <v>3888</v>
      </c>
      <c r="K822" s="1">
        <v>44290</v>
      </c>
      <c r="L822" s="1">
        <v>44290</v>
      </c>
      <c r="M822">
        <v>821</v>
      </c>
      <c r="N822">
        <v>2</v>
      </c>
      <c r="O822" t="s">
        <v>30</v>
      </c>
      <c r="P822" s="3">
        <v>0.08</v>
      </c>
      <c r="Q822" s="2">
        <v>311.04000000000002</v>
      </c>
      <c r="R822">
        <v>2</v>
      </c>
      <c r="S822" t="str">
        <f t="shared" si="12"/>
        <v>Março</v>
      </c>
    </row>
    <row r="823" spans="1:19" hidden="1" x14ac:dyDescent="0.3">
      <c r="A823">
        <v>822</v>
      </c>
      <c r="B823" s="1">
        <v>44273</v>
      </c>
      <c r="C823">
        <v>61</v>
      </c>
      <c r="D823" t="s">
        <v>44</v>
      </c>
      <c r="E823" t="s">
        <v>98</v>
      </c>
      <c r="F823">
        <v>30</v>
      </c>
      <c r="G823" s="2">
        <v>112</v>
      </c>
      <c r="H823" s="2">
        <v>3360</v>
      </c>
      <c r="I823" s="1">
        <v>0.09</v>
      </c>
      <c r="J823" s="2">
        <v>3057.6</v>
      </c>
      <c r="K823" s="1">
        <v>44300</v>
      </c>
      <c r="L823" s="1">
        <v>44300</v>
      </c>
      <c r="M823">
        <v>822</v>
      </c>
      <c r="N823">
        <v>6</v>
      </c>
      <c r="O823" t="s">
        <v>20</v>
      </c>
      <c r="P823" s="3">
        <v>0.09</v>
      </c>
      <c r="Q823" s="2">
        <v>275.18399999999997</v>
      </c>
      <c r="R823">
        <v>3</v>
      </c>
      <c r="S823" t="str">
        <f t="shared" si="12"/>
        <v>Março</v>
      </c>
    </row>
    <row r="824" spans="1:19" x14ac:dyDescent="0.3">
      <c r="A824">
        <v>823</v>
      </c>
      <c r="B824" s="1">
        <v>44273</v>
      </c>
      <c r="C824">
        <v>73</v>
      </c>
      <c r="D824" t="s">
        <v>31</v>
      </c>
      <c r="E824" t="s">
        <v>97</v>
      </c>
      <c r="F824">
        <v>34</v>
      </c>
      <c r="G824" s="2">
        <v>92</v>
      </c>
      <c r="H824" s="2">
        <v>3128</v>
      </c>
      <c r="I824" s="1">
        <v>0.14000000000000001</v>
      </c>
      <c r="J824" s="2">
        <v>2690.08</v>
      </c>
      <c r="K824" s="1">
        <v>44277</v>
      </c>
      <c r="L824" s="1">
        <v>44277</v>
      </c>
      <c r="M824">
        <v>823</v>
      </c>
      <c r="N824">
        <v>4</v>
      </c>
      <c r="O824" t="s">
        <v>35</v>
      </c>
      <c r="P824" s="3">
        <v>0.05</v>
      </c>
      <c r="Q824" s="2">
        <v>134.50399999999999</v>
      </c>
      <c r="R824">
        <v>4</v>
      </c>
      <c r="S824" t="str">
        <f t="shared" si="12"/>
        <v>Março</v>
      </c>
    </row>
    <row r="825" spans="1:19" hidden="1" x14ac:dyDescent="0.3">
      <c r="A825">
        <v>824</v>
      </c>
      <c r="B825" s="1">
        <v>44273</v>
      </c>
      <c r="C825">
        <v>37</v>
      </c>
      <c r="D825" t="s">
        <v>39</v>
      </c>
      <c r="E825" t="s">
        <v>95</v>
      </c>
      <c r="F825">
        <v>12</v>
      </c>
      <c r="G825" s="2">
        <v>118</v>
      </c>
      <c r="H825" s="2">
        <v>1416</v>
      </c>
      <c r="I825" s="1">
        <v>0.06</v>
      </c>
      <c r="J825" s="2">
        <v>1331.04</v>
      </c>
      <c r="K825" s="1">
        <v>44283</v>
      </c>
      <c r="L825" s="1">
        <v>44283</v>
      </c>
      <c r="M825">
        <v>824</v>
      </c>
      <c r="N825">
        <v>3</v>
      </c>
      <c r="O825" t="s">
        <v>27</v>
      </c>
      <c r="P825" s="3">
        <v>0.05</v>
      </c>
      <c r="Q825" s="2">
        <v>66.552000000000007</v>
      </c>
      <c r="R825">
        <v>5</v>
      </c>
      <c r="S825" t="str">
        <f t="shared" si="12"/>
        <v>Março</v>
      </c>
    </row>
    <row r="826" spans="1:19" hidden="1" x14ac:dyDescent="0.3">
      <c r="A826">
        <v>825</v>
      </c>
      <c r="B826" s="1">
        <v>44274</v>
      </c>
      <c r="C826">
        <v>86</v>
      </c>
      <c r="D826" t="s">
        <v>77</v>
      </c>
      <c r="E826" t="s">
        <v>97</v>
      </c>
      <c r="F826">
        <v>40</v>
      </c>
      <c r="G826" s="2">
        <v>90</v>
      </c>
      <c r="H826" s="2">
        <v>3600</v>
      </c>
      <c r="I826" s="1">
        <v>0.13</v>
      </c>
      <c r="J826" s="2">
        <v>3132</v>
      </c>
      <c r="K826" s="1">
        <v>44282</v>
      </c>
      <c r="L826" s="1">
        <v>44282</v>
      </c>
      <c r="M826">
        <v>825</v>
      </c>
      <c r="N826">
        <v>4</v>
      </c>
      <c r="O826" t="s">
        <v>18</v>
      </c>
      <c r="P826" s="3">
        <v>0.09</v>
      </c>
      <c r="Q826" s="2">
        <v>281.88</v>
      </c>
      <c r="R826">
        <v>6</v>
      </c>
      <c r="S826" t="str">
        <f t="shared" si="12"/>
        <v>Março</v>
      </c>
    </row>
    <row r="827" spans="1:19" hidden="1" x14ac:dyDescent="0.3">
      <c r="A827">
        <v>826</v>
      </c>
      <c r="B827" s="1">
        <v>44275</v>
      </c>
      <c r="C827">
        <v>6</v>
      </c>
      <c r="D827" t="s">
        <v>75</v>
      </c>
      <c r="E827" t="s">
        <v>99</v>
      </c>
      <c r="F827">
        <v>34</v>
      </c>
      <c r="G827" s="2">
        <v>117</v>
      </c>
      <c r="H827" s="2">
        <v>3978</v>
      </c>
      <c r="I827" s="1">
        <v>0.01</v>
      </c>
      <c r="J827" s="2">
        <v>3938.22</v>
      </c>
      <c r="K827" s="1">
        <v>44277</v>
      </c>
      <c r="L827" s="1">
        <v>44277</v>
      </c>
      <c r="M827">
        <v>826</v>
      </c>
      <c r="N827">
        <v>6</v>
      </c>
      <c r="O827" t="s">
        <v>25</v>
      </c>
      <c r="P827" s="3">
        <v>7.0000000000000007E-2</v>
      </c>
      <c r="Q827" s="2">
        <v>275.67540000000002</v>
      </c>
      <c r="R827">
        <v>7</v>
      </c>
      <c r="S827" t="str">
        <f t="shared" si="12"/>
        <v>Março</v>
      </c>
    </row>
    <row r="828" spans="1:19" hidden="1" x14ac:dyDescent="0.3">
      <c r="A828">
        <v>827</v>
      </c>
      <c r="B828" s="1">
        <v>44278</v>
      </c>
      <c r="C828">
        <v>63</v>
      </c>
      <c r="D828" t="s">
        <v>67</v>
      </c>
      <c r="E828" t="s">
        <v>97</v>
      </c>
      <c r="F828">
        <v>48</v>
      </c>
      <c r="G828" s="2">
        <v>108</v>
      </c>
      <c r="H828" s="2">
        <v>5184</v>
      </c>
      <c r="I828" s="1">
        <v>0.04</v>
      </c>
      <c r="J828" s="2">
        <v>4976.6400000000003</v>
      </c>
      <c r="K828" s="1">
        <v>44306</v>
      </c>
      <c r="L828" s="1">
        <v>44306</v>
      </c>
      <c r="M828">
        <v>827</v>
      </c>
      <c r="N828">
        <v>5</v>
      </c>
      <c r="O828" t="s">
        <v>23</v>
      </c>
      <c r="P828" s="3">
        <v>0.09</v>
      </c>
      <c r="Q828" s="2">
        <v>447.89760000000001</v>
      </c>
      <c r="R828">
        <v>1</v>
      </c>
      <c r="S828" t="str">
        <f t="shared" si="12"/>
        <v>Março</v>
      </c>
    </row>
    <row r="829" spans="1:19" hidden="1" x14ac:dyDescent="0.3">
      <c r="A829">
        <v>828</v>
      </c>
      <c r="B829" s="1">
        <v>44279</v>
      </c>
      <c r="C829">
        <v>37</v>
      </c>
      <c r="D829" t="s">
        <v>39</v>
      </c>
      <c r="E829" t="s">
        <v>95</v>
      </c>
      <c r="F829">
        <v>47</v>
      </c>
      <c r="G829" s="2">
        <v>108</v>
      </c>
      <c r="H829" s="2">
        <v>5076</v>
      </c>
      <c r="I829" s="1">
        <v>0</v>
      </c>
      <c r="J829" s="2">
        <v>5076</v>
      </c>
      <c r="K829" s="1">
        <v>44295</v>
      </c>
      <c r="L829" s="1">
        <v>44295</v>
      </c>
      <c r="M829">
        <v>828</v>
      </c>
      <c r="N829">
        <v>5</v>
      </c>
      <c r="O829" t="s">
        <v>27</v>
      </c>
      <c r="P829" s="3">
        <v>7.0000000000000007E-2</v>
      </c>
      <c r="Q829" s="2">
        <v>355.32000000000005</v>
      </c>
      <c r="R829">
        <v>2</v>
      </c>
      <c r="S829" t="str">
        <f t="shared" si="12"/>
        <v>Março</v>
      </c>
    </row>
    <row r="830" spans="1:19" hidden="1" x14ac:dyDescent="0.3">
      <c r="A830">
        <v>829</v>
      </c>
      <c r="B830" s="1">
        <v>44279</v>
      </c>
      <c r="C830">
        <v>10</v>
      </c>
      <c r="D830" t="s">
        <v>76</v>
      </c>
      <c r="E830" t="s">
        <v>98</v>
      </c>
      <c r="F830">
        <v>20</v>
      </c>
      <c r="G830" s="2">
        <v>117</v>
      </c>
      <c r="H830" s="2">
        <v>2340</v>
      </c>
      <c r="I830" s="1">
        <v>0.08</v>
      </c>
      <c r="J830" s="2">
        <v>2152.8000000000002</v>
      </c>
      <c r="K830" s="1">
        <v>44294</v>
      </c>
      <c r="L830" s="1">
        <v>44294</v>
      </c>
      <c r="M830">
        <v>829</v>
      </c>
      <c r="N830">
        <v>3</v>
      </c>
      <c r="O830" t="s">
        <v>23</v>
      </c>
      <c r="P830" s="3">
        <v>0.1</v>
      </c>
      <c r="Q830" s="2">
        <v>215.28000000000003</v>
      </c>
      <c r="R830">
        <v>3</v>
      </c>
      <c r="S830" t="str">
        <f t="shared" si="12"/>
        <v>Março</v>
      </c>
    </row>
    <row r="831" spans="1:19" hidden="1" x14ac:dyDescent="0.3">
      <c r="A831">
        <v>830</v>
      </c>
      <c r="B831" s="1">
        <v>44279</v>
      </c>
      <c r="C831">
        <v>85</v>
      </c>
      <c r="D831" t="s">
        <v>45</v>
      </c>
      <c r="E831" t="s">
        <v>103</v>
      </c>
      <c r="F831">
        <v>50</v>
      </c>
      <c r="G831" s="2">
        <v>107</v>
      </c>
      <c r="H831" s="2">
        <v>5350</v>
      </c>
      <c r="I831" s="1">
        <v>0.15</v>
      </c>
      <c r="J831" s="2">
        <v>4547.5</v>
      </c>
      <c r="K831" s="1">
        <v>44291</v>
      </c>
      <c r="L831" s="1">
        <v>44291</v>
      </c>
      <c r="M831">
        <v>830</v>
      </c>
      <c r="N831">
        <v>6</v>
      </c>
      <c r="O831" t="s">
        <v>25</v>
      </c>
      <c r="P831" s="3">
        <v>0.05</v>
      </c>
      <c r="Q831" s="2">
        <v>227.375</v>
      </c>
      <c r="R831">
        <v>4</v>
      </c>
      <c r="S831" t="str">
        <f t="shared" si="12"/>
        <v>Março</v>
      </c>
    </row>
    <row r="832" spans="1:19" hidden="1" x14ac:dyDescent="0.3">
      <c r="A832">
        <v>831</v>
      </c>
      <c r="B832" s="1">
        <v>44281</v>
      </c>
      <c r="C832">
        <v>39</v>
      </c>
      <c r="D832" t="s">
        <v>31</v>
      </c>
      <c r="E832" t="s">
        <v>96</v>
      </c>
      <c r="F832">
        <v>27</v>
      </c>
      <c r="G832" s="2">
        <v>116</v>
      </c>
      <c r="H832" s="2">
        <v>3132</v>
      </c>
      <c r="I832" s="1">
        <v>0.09</v>
      </c>
      <c r="J832" s="2">
        <v>2850.12</v>
      </c>
      <c r="K832" s="1">
        <v>44295</v>
      </c>
      <c r="L832" s="1">
        <v>44295</v>
      </c>
      <c r="M832">
        <v>831</v>
      </c>
      <c r="N832">
        <v>2</v>
      </c>
      <c r="O832" t="s">
        <v>30</v>
      </c>
      <c r="P832" s="3">
        <v>0.1</v>
      </c>
      <c r="Q832" s="2">
        <v>285.012</v>
      </c>
      <c r="R832">
        <v>5</v>
      </c>
      <c r="S832" t="str">
        <f t="shared" si="12"/>
        <v>Março</v>
      </c>
    </row>
    <row r="833" spans="1:19" hidden="1" x14ac:dyDescent="0.3">
      <c r="A833">
        <v>832</v>
      </c>
      <c r="B833" s="1">
        <v>44281</v>
      </c>
      <c r="C833">
        <v>46</v>
      </c>
      <c r="D833" t="s">
        <v>81</v>
      </c>
      <c r="E833" t="s">
        <v>97</v>
      </c>
      <c r="F833">
        <v>50</v>
      </c>
      <c r="G833" s="2">
        <v>93</v>
      </c>
      <c r="H833" s="2">
        <v>4650</v>
      </c>
      <c r="I833" s="1">
        <v>0.13</v>
      </c>
      <c r="J833" s="2">
        <v>4045.5</v>
      </c>
      <c r="K833" s="1">
        <v>44299</v>
      </c>
      <c r="L833" s="1">
        <v>44299</v>
      </c>
      <c r="M833">
        <v>832</v>
      </c>
      <c r="N833">
        <v>1</v>
      </c>
      <c r="O833" t="s">
        <v>42</v>
      </c>
      <c r="P833" s="3">
        <v>0.1</v>
      </c>
      <c r="Q833" s="2">
        <v>404.55</v>
      </c>
      <c r="R833">
        <v>6</v>
      </c>
      <c r="S833" t="str">
        <f t="shared" si="12"/>
        <v>Março</v>
      </c>
    </row>
    <row r="834" spans="1:19" hidden="1" x14ac:dyDescent="0.3">
      <c r="A834">
        <v>833</v>
      </c>
      <c r="B834" s="1">
        <v>44281</v>
      </c>
      <c r="C834">
        <v>72</v>
      </c>
      <c r="D834" t="s">
        <v>31</v>
      </c>
      <c r="E834" t="s">
        <v>99</v>
      </c>
      <c r="F834">
        <v>21</v>
      </c>
      <c r="G834" s="2">
        <v>115</v>
      </c>
      <c r="H834" s="2">
        <v>2415</v>
      </c>
      <c r="I834" s="1">
        <v>0.12</v>
      </c>
      <c r="J834" s="2">
        <v>2125.1999999999998</v>
      </c>
      <c r="K834" s="1">
        <v>44282</v>
      </c>
      <c r="L834" s="1">
        <v>44282</v>
      </c>
      <c r="M834">
        <v>833</v>
      </c>
      <c r="N834">
        <v>7</v>
      </c>
      <c r="O834" t="s">
        <v>56</v>
      </c>
      <c r="P834" s="3">
        <v>0.09</v>
      </c>
      <c r="Q834" s="2">
        <v>191.26799999999997</v>
      </c>
      <c r="R834">
        <v>7</v>
      </c>
      <c r="S834" t="str">
        <f t="shared" si="12"/>
        <v>Março</v>
      </c>
    </row>
    <row r="835" spans="1:19" hidden="1" x14ac:dyDescent="0.3">
      <c r="A835">
        <v>834</v>
      </c>
      <c r="B835" s="1">
        <v>44281</v>
      </c>
      <c r="C835">
        <v>29</v>
      </c>
      <c r="D835" t="s">
        <v>85</v>
      </c>
      <c r="E835" t="s">
        <v>103</v>
      </c>
      <c r="F835">
        <v>12</v>
      </c>
      <c r="G835" s="2">
        <v>97</v>
      </c>
      <c r="H835" s="2">
        <v>1164</v>
      </c>
      <c r="I835" s="1">
        <v>0.03</v>
      </c>
      <c r="J835" s="2">
        <v>1129.08</v>
      </c>
      <c r="K835" s="1">
        <v>44292</v>
      </c>
      <c r="L835" s="1">
        <v>44292</v>
      </c>
      <c r="M835">
        <v>834</v>
      </c>
      <c r="N835">
        <v>5</v>
      </c>
      <c r="O835" t="s">
        <v>27</v>
      </c>
      <c r="P835" s="3">
        <v>0.05</v>
      </c>
      <c r="Q835" s="2">
        <v>56.454000000000001</v>
      </c>
      <c r="R835">
        <v>1</v>
      </c>
      <c r="S835" t="str">
        <f t="shared" ref="S835:S898" si="13">PROPER(TEXT(B835,"mmmm"))</f>
        <v>Março</v>
      </c>
    </row>
    <row r="836" spans="1:19" hidden="1" x14ac:dyDescent="0.3">
      <c r="A836">
        <v>835</v>
      </c>
      <c r="B836" s="1">
        <v>44282</v>
      </c>
      <c r="C836">
        <v>66</v>
      </c>
      <c r="D836" t="s">
        <v>24</v>
      </c>
      <c r="E836" t="s">
        <v>98</v>
      </c>
      <c r="F836">
        <v>23</v>
      </c>
      <c r="G836" s="2">
        <v>99</v>
      </c>
      <c r="H836" s="2">
        <v>2277</v>
      </c>
      <c r="I836" s="1">
        <v>0.02</v>
      </c>
      <c r="J836" s="2">
        <v>2231.46</v>
      </c>
      <c r="K836" s="1">
        <v>44288</v>
      </c>
      <c r="L836" s="1">
        <v>44288</v>
      </c>
      <c r="M836">
        <v>835</v>
      </c>
      <c r="N836">
        <v>1</v>
      </c>
      <c r="O836" t="s">
        <v>56</v>
      </c>
      <c r="P836" s="3">
        <v>7.0000000000000007E-2</v>
      </c>
      <c r="Q836" s="2">
        <v>156.2022</v>
      </c>
      <c r="R836">
        <v>2</v>
      </c>
      <c r="S836" t="str">
        <f t="shared" si="13"/>
        <v>Março</v>
      </c>
    </row>
    <row r="837" spans="1:19" hidden="1" x14ac:dyDescent="0.3">
      <c r="A837">
        <v>836</v>
      </c>
      <c r="B837" s="1">
        <v>44282</v>
      </c>
      <c r="C837">
        <v>70</v>
      </c>
      <c r="D837" t="s">
        <v>54</v>
      </c>
      <c r="E837" t="s">
        <v>95</v>
      </c>
      <c r="F837">
        <v>45</v>
      </c>
      <c r="G837" s="2">
        <v>98</v>
      </c>
      <c r="H837" s="2">
        <v>4410</v>
      </c>
      <c r="I837" s="1">
        <v>0.14000000000000001</v>
      </c>
      <c r="J837" s="2">
        <v>3792.6</v>
      </c>
      <c r="K837" s="1">
        <v>44307</v>
      </c>
      <c r="L837" s="1">
        <v>44307</v>
      </c>
      <c r="M837">
        <v>836</v>
      </c>
      <c r="N837">
        <v>7</v>
      </c>
      <c r="O837" t="s">
        <v>30</v>
      </c>
      <c r="P837" s="3">
        <v>0.09</v>
      </c>
      <c r="Q837" s="2">
        <v>341.334</v>
      </c>
      <c r="R837">
        <v>3</v>
      </c>
      <c r="S837" t="str">
        <f t="shared" si="13"/>
        <v>Março</v>
      </c>
    </row>
    <row r="838" spans="1:19" hidden="1" x14ac:dyDescent="0.3">
      <c r="A838">
        <v>837</v>
      </c>
      <c r="B838" s="1">
        <v>44282</v>
      </c>
      <c r="C838">
        <v>75</v>
      </c>
      <c r="D838" t="s">
        <v>31</v>
      </c>
      <c r="E838" t="s">
        <v>97</v>
      </c>
      <c r="F838">
        <v>26</v>
      </c>
      <c r="G838" s="2">
        <v>94</v>
      </c>
      <c r="H838" s="2">
        <v>2444</v>
      </c>
      <c r="I838" s="1">
        <v>0.09</v>
      </c>
      <c r="J838" s="2">
        <v>2224.04</v>
      </c>
      <c r="K838" s="1">
        <v>44287</v>
      </c>
      <c r="L838" s="1">
        <v>44287</v>
      </c>
      <c r="M838">
        <v>837</v>
      </c>
      <c r="N838">
        <v>3</v>
      </c>
      <c r="O838" t="s">
        <v>27</v>
      </c>
      <c r="P838" s="3">
        <v>0.09</v>
      </c>
      <c r="Q838" s="2">
        <v>200.1636</v>
      </c>
      <c r="R838">
        <v>4</v>
      </c>
      <c r="S838" t="str">
        <f t="shared" si="13"/>
        <v>Março</v>
      </c>
    </row>
    <row r="839" spans="1:19" hidden="1" x14ac:dyDescent="0.3">
      <c r="A839">
        <v>838</v>
      </c>
      <c r="B839" s="1">
        <v>44282</v>
      </c>
      <c r="C839">
        <v>17</v>
      </c>
      <c r="D839" t="s">
        <v>54</v>
      </c>
      <c r="E839" t="s">
        <v>104</v>
      </c>
      <c r="F839">
        <v>23</v>
      </c>
      <c r="G839" s="2">
        <v>115</v>
      </c>
      <c r="H839" s="2">
        <v>2645</v>
      </c>
      <c r="I839" s="1">
        <v>7.0000000000000007E-2</v>
      </c>
      <c r="J839" s="2">
        <v>2459.85</v>
      </c>
      <c r="K839" s="1">
        <v>44284</v>
      </c>
      <c r="L839" s="1">
        <v>44284</v>
      </c>
      <c r="M839">
        <v>838</v>
      </c>
      <c r="N839">
        <v>3</v>
      </c>
      <c r="O839" t="s">
        <v>38</v>
      </c>
      <c r="P839" s="3">
        <v>0.06</v>
      </c>
      <c r="Q839" s="2">
        <v>147.59099999999998</v>
      </c>
      <c r="R839">
        <v>5</v>
      </c>
      <c r="S839" t="str">
        <f t="shared" si="13"/>
        <v>Março</v>
      </c>
    </row>
    <row r="840" spans="1:19" hidden="1" x14ac:dyDescent="0.3">
      <c r="A840">
        <v>839</v>
      </c>
      <c r="B840" s="1">
        <v>44283</v>
      </c>
      <c r="C840">
        <v>68</v>
      </c>
      <c r="D840" t="s">
        <v>40</v>
      </c>
      <c r="E840" t="s">
        <v>101</v>
      </c>
      <c r="F840">
        <v>22</v>
      </c>
      <c r="G840" s="2">
        <v>116</v>
      </c>
      <c r="H840" s="2">
        <v>2552</v>
      </c>
      <c r="I840" s="1">
        <v>0.09</v>
      </c>
      <c r="J840" s="2">
        <v>2322.3200000000002</v>
      </c>
      <c r="K840" s="1">
        <v>44312</v>
      </c>
      <c r="L840" s="1">
        <v>44312</v>
      </c>
      <c r="M840">
        <v>839</v>
      </c>
      <c r="N840">
        <v>5</v>
      </c>
      <c r="O840" t="s">
        <v>23</v>
      </c>
      <c r="P840" s="3">
        <v>0.06</v>
      </c>
      <c r="Q840" s="2">
        <v>139.33920000000001</v>
      </c>
      <c r="R840">
        <v>6</v>
      </c>
      <c r="S840" t="str">
        <f t="shared" si="13"/>
        <v>Março</v>
      </c>
    </row>
    <row r="841" spans="1:19" hidden="1" x14ac:dyDescent="0.3">
      <c r="A841">
        <v>840</v>
      </c>
      <c r="B841" s="1">
        <v>44283</v>
      </c>
      <c r="C841">
        <v>50</v>
      </c>
      <c r="D841" t="s">
        <v>68</v>
      </c>
      <c r="E841" t="s">
        <v>99</v>
      </c>
      <c r="F841">
        <v>37</v>
      </c>
      <c r="G841" s="2">
        <v>91</v>
      </c>
      <c r="H841" s="2">
        <v>3367</v>
      </c>
      <c r="I841" s="1">
        <v>0.02</v>
      </c>
      <c r="J841" s="2">
        <v>3299.66</v>
      </c>
      <c r="K841" s="1">
        <v>44284</v>
      </c>
      <c r="L841" s="1">
        <v>44284</v>
      </c>
      <c r="M841">
        <v>840</v>
      </c>
      <c r="N841">
        <v>7</v>
      </c>
      <c r="O841" t="s">
        <v>23</v>
      </c>
      <c r="P841" s="3">
        <v>7.0000000000000007E-2</v>
      </c>
      <c r="Q841" s="2">
        <v>230.97620000000001</v>
      </c>
      <c r="R841">
        <v>7</v>
      </c>
      <c r="S841" t="str">
        <f t="shared" si="13"/>
        <v>Março</v>
      </c>
    </row>
    <row r="842" spans="1:19" hidden="1" x14ac:dyDescent="0.3">
      <c r="A842">
        <v>841</v>
      </c>
      <c r="B842" s="1">
        <v>44283</v>
      </c>
      <c r="C842">
        <v>23</v>
      </c>
      <c r="D842" t="s">
        <v>92</v>
      </c>
      <c r="E842" t="s">
        <v>102</v>
      </c>
      <c r="F842">
        <v>47</v>
      </c>
      <c r="G842" s="2">
        <v>99</v>
      </c>
      <c r="H842" s="2">
        <v>4653</v>
      </c>
      <c r="I842" s="1">
        <v>0.03</v>
      </c>
      <c r="J842" s="2">
        <v>4513.41</v>
      </c>
      <c r="K842" s="1">
        <v>44307</v>
      </c>
      <c r="L842" s="1">
        <v>44307</v>
      </c>
      <c r="M842">
        <v>841</v>
      </c>
      <c r="N842">
        <v>3</v>
      </c>
      <c r="O842" t="s">
        <v>23</v>
      </c>
      <c r="P842" s="3">
        <v>0.09</v>
      </c>
      <c r="Q842" s="2">
        <v>406.20689999999996</v>
      </c>
      <c r="R842">
        <v>1</v>
      </c>
      <c r="S842" t="str">
        <f t="shared" si="13"/>
        <v>Março</v>
      </c>
    </row>
    <row r="843" spans="1:19" hidden="1" x14ac:dyDescent="0.3">
      <c r="A843">
        <v>842</v>
      </c>
      <c r="B843" s="1">
        <v>44284</v>
      </c>
      <c r="C843">
        <v>85</v>
      </c>
      <c r="D843" t="s">
        <v>45</v>
      </c>
      <c r="E843" t="s">
        <v>98</v>
      </c>
      <c r="F843">
        <v>20</v>
      </c>
      <c r="G843" s="2">
        <v>93</v>
      </c>
      <c r="H843" s="2">
        <v>1860</v>
      </c>
      <c r="I843" s="1">
        <v>0.1</v>
      </c>
      <c r="J843" s="2">
        <v>1674</v>
      </c>
      <c r="K843" s="1">
        <v>44288</v>
      </c>
      <c r="L843" s="1">
        <v>44288</v>
      </c>
      <c r="M843">
        <v>842</v>
      </c>
      <c r="N843">
        <v>2</v>
      </c>
      <c r="O843" t="s">
        <v>20</v>
      </c>
      <c r="P843" s="3">
        <v>0.06</v>
      </c>
      <c r="Q843" s="2">
        <v>100.44</v>
      </c>
      <c r="R843">
        <v>2</v>
      </c>
      <c r="S843" t="str">
        <f t="shared" si="13"/>
        <v>Março</v>
      </c>
    </row>
    <row r="844" spans="1:19" x14ac:dyDescent="0.3">
      <c r="A844">
        <v>843</v>
      </c>
      <c r="B844" s="1">
        <v>44284</v>
      </c>
      <c r="C844">
        <v>1</v>
      </c>
      <c r="D844" t="s">
        <v>80</v>
      </c>
      <c r="E844" t="s">
        <v>101</v>
      </c>
      <c r="F844">
        <v>13</v>
      </c>
      <c r="G844" s="2">
        <v>92</v>
      </c>
      <c r="H844" s="2">
        <v>1196</v>
      </c>
      <c r="I844" s="1">
        <v>7.0000000000000007E-2</v>
      </c>
      <c r="J844" s="2">
        <v>1112.28</v>
      </c>
      <c r="K844" s="1">
        <v>44311</v>
      </c>
      <c r="L844" s="1">
        <v>44311</v>
      </c>
      <c r="M844">
        <v>843</v>
      </c>
      <c r="N844">
        <v>4</v>
      </c>
      <c r="O844" t="s">
        <v>35</v>
      </c>
      <c r="P844" s="3">
        <v>0.05</v>
      </c>
      <c r="Q844" s="2">
        <v>55.614000000000004</v>
      </c>
      <c r="R844">
        <v>3</v>
      </c>
      <c r="S844" t="str">
        <f t="shared" si="13"/>
        <v>Março</v>
      </c>
    </row>
    <row r="845" spans="1:19" x14ac:dyDescent="0.3">
      <c r="A845">
        <v>844</v>
      </c>
      <c r="B845" s="1">
        <v>44284</v>
      </c>
      <c r="C845">
        <v>68</v>
      </c>
      <c r="D845" t="s">
        <v>40</v>
      </c>
      <c r="E845" t="s">
        <v>101</v>
      </c>
      <c r="F845">
        <v>46</v>
      </c>
      <c r="G845" s="2">
        <v>104</v>
      </c>
      <c r="H845" s="2">
        <v>4784</v>
      </c>
      <c r="I845" s="1">
        <v>0.08</v>
      </c>
      <c r="J845" s="2">
        <v>4401.28</v>
      </c>
      <c r="K845" s="1">
        <v>44314</v>
      </c>
      <c r="L845" s="1">
        <v>44314</v>
      </c>
      <c r="M845">
        <v>844</v>
      </c>
      <c r="N845">
        <v>1</v>
      </c>
      <c r="O845" t="s">
        <v>35</v>
      </c>
      <c r="P845" s="3">
        <v>0.06</v>
      </c>
      <c r="Q845" s="2">
        <v>264.07679999999999</v>
      </c>
      <c r="R845">
        <v>4</v>
      </c>
      <c r="S845" t="str">
        <f t="shared" si="13"/>
        <v>Março</v>
      </c>
    </row>
    <row r="846" spans="1:19" hidden="1" x14ac:dyDescent="0.3">
      <c r="A846">
        <v>845</v>
      </c>
      <c r="B846" s="1">
        <v>44285</v>
      </c>
      <c r="C846">
        <v>85</v>
      </c>
      <c r="D846" t="s">
        <v>45</v>
      </c>
      <c r="E846" t="s">
        <v>101</v>
      </c>
      <c r="F846">
        <v>14</v>
      </c>
      <c r="G846" s="2">
        <v>93</v>
      </c>
      <c r="H846" s="2">
        <v>1302</v>
      </c>
      <c r="I846" s="1">
        <v>0.02</v>
      </c>
      <c r="J846" s="2">
        <v>1275.96</v>
      </c>
      <c r="K846" s="1">
        <v>44290</v>
      </c>
      <c r="L846" s="1">
        <v>44290</v>
      </c>
      <c r="M846">
        <v>845</v>
      </c>
      <c r="N846">
        <v>2</v>
      </c>
      <c r="O846" t="s">
        <v>27</v>
      </c>
      <c r="P846" s="3">
        <v>0.1</v>
      </c>
      <c r="Q846" s="2">
        <v>127.596</v>
      </c>
      <c r="R846">
        <v>5</v>
      </c>
      <c r="S846" t="str">
        <f t="shared" si="13"/>
        <v>Março</v>
      </c>
    </row>
    <row r="847" spans="1:19" hidden="1" x14ac:dyDescent="0.3">
      <c r="A847">
        <v>846</v>
      </c>
      <c r="B847" s="1">
        <v>44285</v>
      </c>
      <c r="C847">
        <v>86</v>
      </c>
      <c r="D847" t="s">
        <v>77</v>
      </c>
      <c r="E847" t="s">
        <v>97</v>
      </c>
      <c r="F847">
        <v>50</v>
      </c>
      <c r="G847" s="2">
        <v>118</v>
      </c>
      <c r="H847" s="2">
        <v>5900</v>
      </c>
      <c r="I847" s="1">
        <v>0.12</v>
      </c>
      <c r="J847" s="2">
        <v>5192</v>
      </c>
      <c r="K847" s="1">
        <v>44313</v>
      </c>
      <c r="L847" s="1">
        <v>44313</v>
      </c>
      <c r="M847">
        <v>846</v>
      </c>
      <c r="N847">
        <v>7</v>
      </c>
      <c r="O847" t="s">
        <v>30</v>
      </c>
      <c r="P847" s="3">
        <v>0.05</v>
      </c>
      <c r="Q847" s="2">
        <v>259.60000000000002</v>
      </c>
      <c r="R847">
        <v>6</v>
      </c>
      <c r="S847" t="str">
        <f t="shared" si="13"/>
        <v>Março</v>
      </c>
    </row>
    <row r="848" spans="1:19" hidden="1" x14ac:dyDescent="0.3">
      <c r="A848">
        <v>847</v>
      </c>
      <c r="B848" s="1">
        <v>44286</v>
      </c>
      <c r="C848">
        <v>57</v>
      </c>
      <c r="D848" t="s">
        <v>76</v>
      </c>
      <c r="E848" t="s">
        <v>102</v>
      </c>
      <c r="F848">
        <v>26</v>
      </c>
      <c r="G848" s="2">
        <v>103</v>
      </c>
      <c r="H848" s="2">
        <v>2678</v>
      </c>
      <c r="I848" s="1">
        <v>0.05</v>
      </c>
      <c r="J848" s="2">
        <v>2544.1</v>
      </c>
      <c r="K848" s="1">
        <v>44314</v>
      </c>
      <c r="L848" s="1">
        <v>44314</v>
      </c>
      <c r="M848">
        <v>847</v>
      </c>
      <c r="N848">
        <v>6</v>
      </c>
      <c r="O848" t="s">
        <v>30</v>
      </c>
      <c r="P848" s="3">
        <v>0.1</v>
      </c>
      <c r="Q848" s="2">
        <v>254.41</v>
      </c>
      <c r="R848">
        <v>7</v>
      </c>
      <c r="S848" t="str">
        <f t="shared" si="13"/>
        <v>Março</v>
      </c>
    </row>
    <row r="849" spans="1:19" hidden="1" x14ac:dyDescent="0.3">
      <c r="A849">
        <v>848</v>
      </c>
      <c r="B849" s="1">
        <v>44286</v>
      </c>
      <c r="C849">
        <v>84</v>
      </c>
      <c r="D849" t="s">
        <v>36</v>
      </c>
      <c r="E849" t="s">
        <v>98</v>
      </c>
      <c r="F849">
        <v>42</v>
      </c>
      <c r="G849" s="2">
        <v>91</v>
      </c>
      <c r="H849" s="2">
        <v>3822</v>
      </c>
      <c r="I849" s="1">
        <v>0.01</v>
      </c>
      <c r="J849" s="2">
        <v>3783.78</v>
      </c>
      <c r="K849" s="1">
        <v>44294</v>
      </c>
      <c r="L849" s="1">
        <v>44294</v>
      </c>
      <c r="M849">
        <v>848</v>
      </c>
      <c r="N849">
        <v>6</v>
      </c>
      <c r="O849" t="s">
        <v>27</v>
      </c>
      <c r="P849" s="3">
        <v>0.06</v>
      </c>
      <c r="Q849" s="2">
        <v>227.02680000000001</v>
      </c>
      <c r="R849">
        <v>1</v>
      </c>
      <c r="S849" t="str">
        <f t="shared" si="13"/>
        <v>Março</v>
      </c>
    </row>
    <row r="850" spans="1:19" hidden="1" x14ac:dyDescent="0.3">
      <c r="A850">
        <v>849</v>
      </c>
      <c r="B850" s="1">
        <v>44286</v>
      </c>
      <c r="C850">
        <v>58</v>
      </c>
      <c r="D850" t="s">
        <v>59</v>
      </c>
      <c r="E850" t="s">
        <v>104</v>
      </c>
      <c r="F850">
        <v>21</v>
      </c>
      <c r="G850" s="2">
        <v>93</v>
      </c>
      <c r="H850" s="2">
        <v>1953</v>
      </c>
      <c r="I850" s="1">
        <v>0</v>
      </c>
      <c r="J850" s="2">
        <v>1953</v>
      </c>
      <c r="K850" s="1">
        <v>44308</v>
      </c>
      <c r="L850" s="1">
        <v>44308</v>
      </c>
      <c r="M850">
        <v>849</v>
      </c>
      <c r="N850">
        <v>2</v>
      </c>
      <c r="O850" t="s">
        <v>23</v>
      </c>
      <c r="P850" s="3">
        <v>0.1</v>
      </c>
      <c r="Q850" s="2">
        <v>195.3</v>
      </c>
      <c r="R850">
        <v>2</v>
      </c>
      <c r="S850" t="str">
        <f t="shared" si="13"/>
        <v>Março</v>
      </c>
    </row>
    <row r="851" spans="1:19" hidden="1" x14ac:dyDescent="0.3">
      <c r="A851">
        <v>850</v>
      </c>
      <c r="B851" s="1">
        <v>44287</v>
      </c>
      <c r="C851">
        <v>11</v>
      </c>
      <c r="D851" t="s">
        <v>47</v>
      </c>
      <c r="E851" t="s">
        <v>104</v>
      </c>
      <c r="F851">
        <v>49</v>
      </c>
      <c r="G851" s="2">
        <v>114</v>
      </c>
      <c r="H851" s="2">
        <v>5586</v>
      </c>
      <c r="I851" s="1">
        <v>0.14000000000000001</v>
      </c>
      <c r="J851" s="2">
        <v>4803.96</v>
      </c>
      <c r="K851" s="1">
        <v>44309</v>
      </c>
      <c r="L851" s="1">
        <v>44309</v>
      </c>
      <c r="M851">
        <v>850</v>
      </c>
      <c r="N851">
        <v>1</v>
      </c>
      <c r="O851" t="s">
        <v>30</v>
      </c>
      <c r="P851" s="3">
        <v>0.08</v>
      </c>
      <c r="Q851" s="2">
        <v>384.3168</v>
      </c>
      <c r="R851">
        <v>3</v>
      </c>
      <c r="S851" t="str">
        <f t="shared" si="13"/>
        <v>Abril</v>
      </c>
    </row>
    <row r="852" spans="1:19" hidden="1" x14ac:dyDescent="0.3">
      <c r="A852">
        <v>851</v>
      </c>
      <c r="B852" s="1">
        <v>44287</v>
      </c>
      <c r="C852">
        <v>58</v>
      </c>
      <c r="D852" t="s">
        <v>59</v>
      </c>
      <c r="E852" t="s">
        <v>99</v>
      </c>
      <c r="F852">
        <v>23</v>
      </c>
      <c r="G852" s="2">
        <v>106</v>
      </c>
      <c r="H852" s="2">
        <v>2438</v>
      </c>
      <c r="I852" s="1">
        <v>0.08</v>
      </c>
      <c r="J852" s="2">
        <v>2242.96</v>
      </c>
      <c r="K852" s="1">
        <v>44314</v>
      </c>
      <c r="L852" s="1">
        <v>44314</v>
      </c>
      <c r="M852">
        <v>851</v>
      </c>
      <c r="N852">
        <v>2</v>
      </c>
      <c r="O852" t="s">
        <v>42</v>
      </c>
      <c r="P852" s="3">
        <v>0.08</v>
      </c>
      <c r="Q852" s="2">
        <v>179.43680000000001</v>
      </c>
      <c r="R852">
        <v>4</v>
      </c>
      <c r="S852" t="str">
        <f t="shared" si="13"/>
        <v>Abril</v>
      </c>
    </row>
    <row r="853" spans="1:19" hidden="1" x14ac:dyDescent="0.3">
      <c r="A853">
        <v>852</v>
      </c>
      <c r="B853" s="1">
        <v>44288</v>
      </c>
      <c r="C853">
        <v>2</v>
      </c>
      <c r="D853" t="s">
        <v>28</v>
      </c>
      <c r="E853" t="s">
        <v>100</v>
      </c>
      <c r="F853">
        <v>17</v>
      </c>
      <c r="G853" s="2">
        <v>102</v>
      </c>
      <c r="H853" s="2">
        <v>1734</v>
      </c>
      <c r="I853" s="1">
        <v>0.06</v>
      </c>
      <c r="J853" s="2">
        <v>1629.96</v>
      </c>
      <c r="K853" s="1">
        <v>44312</v>
      </c>
      <c r="L853" s="1">
        <v>44312</v>
      </c>
      <c r="M853">
        <v>852</v>
      </c>
      <c r="N853">
        <v>3</v>
      </c>
      <c r="O853" t="s">
        <v>42</v>
      </c>
      <c r="P853" s="3">
        <v>0.1</v>
      </c>
      <c r="Q853" s="2">
        <v>162.99600000000001</v>
      </c>
      <c r="R853">
        <v>5</v>
      </c>
      <c r="S853" t="str">
        <f t="shared" si="13"/>
        <v>Abril</v>
      </c>
    </row>
    <row r="854" spans="1:19" hidden="1" x14ac:dyDescent="0.3">
      <c r="A854">
        <v>853</v>
      </c>
      <c r="B854" s="1">
        <v>44288</v>
      </c>
      <c r="C854">
        <v>14</v>
      </c>
      <c r="D854" t="s">
        <v>22</v>
      </c>
      <c r="E854" t="s">
        <v>104</v>
      </c>
      <c r="F854">
        <v>39</v>
      </c>
      <c r="G854" s="2">
        <v>118</v>
      </c>
      <c r="H854" s="2">
        <v>4602</v>
      </c>
      <c r="I854" s="1">
        <v>0.08</v>
      </c>
      <c r="J854" s="2">
        <v>4233.84</v>
      </c>
      <c r="K854" s="1">
        <v>44317</v>
      </c>
      <c r="L854" s="1">
        <v>44317</v>
      </c>
      <c r="M854">
        <v>853</v>
      </c>
      <c r="N854">
        <v>5</v>
      </c>
      <c r="O854" t="s">
        <v>27</v>
      </c>
      <c r="P854" s="3">
        <v>0.05</v>
      </c>
      <c r="Q854" s="2">
        <v>211.69200000000001</v>
      </c>
      <c r="R854">
        <v>6</v>
      </c>
      <c r="S854" t="str">
        <f t="shared" si="13"/>
        <v>Abril</v>
      </c>
    </row>
    <row r="855" spans="1:19" hidden="1" x14ac:dyDescent="0.3">
      <c r="A855">
        <v>854</v>
      </c>
      <c r="B855" s="1">
        <v>44288</v>
      </c>
      <c r="C855">
        <v>85</v>
      </c>
      <c r="D855" t="s">
        <v>45</v>
      </c>
      <c r="E855" t="s">
        <v>101</v>
      </c>
      <c r="F855">
        <v>35</v>
      </c>
      <c r="G855" s="2">
        <v>101</v>
      </c>
      <c r="H855" s="2">
        <v>3535</v>
      </c>
      <c r="I855" s="1">
        <v>0.09</v>
      </c>
      <c r="J855" s="2">
        <v>3216.85</v>
      </c>
      <c r="K855" s="1">
        <v>44295</v>
      </c>
      <c r="L855" s="1">
        <v>44295</v>
      </c>
      <c r="M855">
        <v>854</v>
      </c>
      <c r="N855">
        <v>7</v>
      </c>
      <c r="O855" t="s">
        <v>18</v>
      </c>
      <c r="P855" s="3">
        <v>7.0000000000000007E-2</v>
      </c>
      <c r="Q855" s="2">
        <v>225.17950000000002</v>
      </c>
      <c r="R855">
        <v>7</v>
      </c>
      <c r="S855" t="str">
        <f t="shared" si="13"/>
        <v>Abril</v>
      </c>
    </row>
    <row r="856" spans="1:19" hidden="1" x14ac:dyDescent="0.3">
      <c r="A856">
        <v>855</v>
      </c>
      <c r="B856" s="1">
        <v>44289</v>
      </c>
      <c r="C856">
        <v>7</v>
      </c>
      <c r="D856" t="s">
        <v>89</v>
      </c>
      <c r="E856" t="s">
        <v>96</v>
      </c>
      <c r="F856">
        <v>27</v>
      </c>
      <c r="G856" s="2">
        <v>109</v>
      </c>
      <c r="H856" s="2">
        <v>2943</v>
      </c>
      <c r="I856" s="1">
        <v>0.06</v>
      </c>
      <c r="J856" s="2">
        <v>2766.42</v>
      </c>
      <c r="K856" s="1">
        <v>44308</v>
      </c>
      <c r="L856" s="1">
        <v>44308</v>
      </c>
      <c r="M856">
        <v>855</v>
      </c>
      <c r="N856">
        <v>2</v>
      </c>
      <c r="O856" t="s">
        <v>25</v>
      </c>
      <c r="P856" s="3">
        <v>0.05</v>
      </c>
      <c r="Q856" s="2">
        <v>138.321</v>
      </c>
      <c r="R856">
        <v>1</v>
      </c>
      <c r="S856" t="str">
        <f t="shared" si="13"/>
        <v>Abril</v>
      </c>
    </row>
    <row r="857" spans="1:19" hidden="1" x14ac:dyDescent="0.3">
      <c r="A857">
        <v>856</v>
      </c>
      <c r="B857" s="1">
        <v>44289</v>
      </c>
      <c r="C857">
        <v>46</v>
      </c>
      <c r="D857" t="s">
        <v>81</v>
      </c>
      <c r="E857" t="s">
        <v>99</v>
      </c>
      <c r="F857">
        <v>45</v>
      </c>
      <c r="G857" s="2">
        <v>109</v>
      </c>
      <c r="H857" s="2">
        <v>4905</v>
      </c>
      <c r="I857" s="1">
        <v>0.13</v>
      </c>
      <c r="J857" s="2">
        <v>4267.3500000000004</v>
      </c>
      <c r="K857" s="1">
        <v>44298</v>
      </c>
      <c r="L857" s="1">
        <v>44298</v>
      </c>
      <c r="M857">
        <v>856</v>
      </c>
      <c r="N857">
        <v>3</v>
      </c>
      <c r="O857" t="s">
        <v>42</v>
      </c>
      <c r="P857" s="3">
        <v>7.0000000000000007E-2</v>
      </c>
      <c r="Q857" s="2">
        <v>298.71450000000004</v>
      </c>
      <c r="R857">
        <v>2</v>
      </c>
      <c r="S857" t="str">
        <f t="shared" si="13"/>
        <v>Abril</v>
      </c>
    </row>
    <row r="858" spans="1:19" hidden="1" x14ac:dyDescent="0.3">
      <c r="A858">
        <v>857</v>
      </c>
      <c r="B858" s="1">
        <v>44289</v>
      </c>
      <c r="C858">
        <v>38</v>
      </c>
      <c r="D858" t="s">
        <v>60</v>
      </c>
      <c r="E858" t="s">
        <v>95</v>
      </c>
      <c r="F858">
        <v>48</v>
      </c>
      <c r="G858" s="2">
        <v>101</v>
      </c>
      <c r="H858" s="2">
        <v>4848</v>
      </c>
      <c r="I858" s="1">
        <v>0.02</v>
      </c>
      <c r="J858" s="2">
        <v>4751.04</v>
      </c>
      <c r="K858" s="1">
        <v>44301</v>
      </c>
      <c r="L858" s="1">
        <v>44301</v>
      </c>
      <c r="M858">
        <v>857</v>
      </c>
      <c r="N858">
        <v>2</v>
      </c>
      <c r="O858" t="s">
        <v>30</v>
      </c>
      <c r="P858" s="3">
        <v>0.06</v>
      </c>
      <c r="Q858" s="2">
        <v>285.06239999999997</v>
      </c>
      <c r="R858">
        <v>3</v>
      </c>
      <c r="S858" t="str">
        <f t="shared" si="13"/>
        <v>Abril</v>
      </c>
    </row>
    <row r="859" spans="1:19" hidden="1" x14ac:dyDescent="0.3">
      <c r="A859">
        <v>858</v>
      </c>
      <c r="B859" s="1">
        <v>44290</v>
      </c>
      <c r="C859">
        <v>33</v>
      </c>
      <c r="D859" t="s">
        <v>63</v>
      </c>
      <c r="E859" t="s">
        <v>101</v>
      </c>
      <c r="F859">
        <v>46</v>
      </c>
      <c r="G859" s="2">
        <v>118</v>
      </c>
      <c r="H859" s="2">
        <v>5428</v>
      </c>
      <c r="I859" s="1">
        <v>0</v>
      </c>
      <c r="J859" s="2">
        <v>5428</v>
      </c>
      <c r="K859" s="1">
        <v>44313</v>
      </c>
      <c r="L859" s="1">
        <v>44313</v>
      </c>
      <c r="M859">
        <v>858</v>
      </c>
      <c r="N859">
        <v>1</v>
      </c>
      <c r="O859" t="s">
        <v>27</v>
      </c>
      <c r="P859" s="3">
        <v>0.09</v>
      </c>
      <c r="Q859" s="2">
        <v>488.52</v>
      </c>
      <c r="R859">
        <v>4</v>
      </c>
      <c r="S859" t="str">
        <f t="shared" si="13"/>
        <v>Abril</v>
      </c>
    </row>
    <row r="860" spans="1:19" hidden="1" x14ac:dyDescent="0.3">
      <c r="A860">
        <v>859</v>
      </c>
      <c r="B860" s="1">
        <v>44290</v>
      </c>
      <c r="C860">
        <v>48</v>
      </c>
      <c r="D860" t="s">
        <v>48</v>
      </c>
      <c r="E860" t="s">
        <v>95</v>
      </c>
      <c r="F860">
        <v>11</v>
      </c>
      <c r="G860" s="2">
        <v>98</v>
      </c>
      <c r="H860" s="2">
        <v>1078</v>
      </c>
      <c r="I860" s="1">
        <v>0.08</v>
      </c>
      <c r="J860" s="2">
        <v>991.76</v>
      </c>
      <c r="K860" s="1">
        <v>44290</v>
      </c>
      <c r="L860" s="1">
        <v>44290</v>
      </c>
      <c r="M860">
        <v>859</v>
      </c>
      <c r="N860">
        <v>1</v>
      </c>
      <c r="O860" t="s">
        <v>25</v>
      </c>
      <c r="P860" s="3">
        <v>0.1</v>
      </c>
      <c r="Q860" s="2">
        <v>99.176000000000002</v>
      </c>
      <c r="R860">
        <v>5</v>
      </c>
      <c r="S860" t="str">
        <f t="shared" si="13"/>
        <v>Abril</v>
      </c>
    </row>
    <row r="861" spans="1:19" hidden="1" x14ac:dyDescent="0.3">
      <c r="A861">
        <v>860</v>
      </c>
      <c r="B861" s="1">
        <v>44290</v>
      </c>
      <c r="C861">
        <v>13</v>
      </c>
      <c r="D861" t="s">
        <v>62</v>
      </c>
      <c r="E861" t="s">
        <v>99</v>
      </c>
      <c r="F861">
        <v>45</v>
      </c>
      <c r="G861" s="2">
        <v>95</v>
      </c>
      <c r="H861" s="2">
        <v>4275</v>
      </c>
      <c r="I861" s="1">
        <v>0.12</v>
      </c>
      <c r="J861" s="2">
        <v>3762</v>
      </c>
      <c r="K861" s="1">
        <v>44295</v>
      </c>
      <c r="L861" s="1">
        <v>44295</v>
      </c>
      <c r="M861">
        <v>860</v>
      </c>
      <c r="N861">
        <v>2</v>
      </c>
      <c r="O861" t="s">
        <v>20</v>
      </c>
      <c r="P861" s="3">
        <v>0.08</v>
      </c>
      <c r="Q861" s="2">
        <v>300.95999999999998</v>
      </c>
      <c r="R861">
        <v>6</v>
      </c>
      <c r="S861" t="str">
        <f t="shared" si="13"/>
        <v>Abril</v>
      </c>
    </row>
    <row r="862" spans="1:19" hidden="1" x14ac:dyDescent="0.3">
      <c r="A862">
        <v>861</v>
      </c>
      <c r="B862" s="1">
        <v>44290</v>
      </c>
      <c r="C862">
        <v>45</v>
      </c>
      <c r="D862" t="s">
        <v>31</v>
      </c>
      <c r="E862" t="s">
        <v>100</v>
      </c>
      <c r="F862">
        <v>41</v>
      </c>
      <c r="G862" s="2">
        <v>101</v>
      </c>
      <c r="H862" s="2">
        <v>4141</v>
      </c>
      <c r="I862" s="1">
        <v>0.15</v>
      </c>
      <c r="J862" s="2">
        <v>3519.85</v>
      </c>
      <c r="K862" s="1">
        <v>44297</v>
      </c>
      <c r="L862" s="1">
        <v>44297</v>
      </c>
      <c r="M862">
        <v>861</v>
      </c>
      <c r="N862">
        <v>1</v>
      </c>
      <c r="O862" t="s">
        <v>56</v>
      </c>
      <c r="P862" s="3">
        <v>7.0000000000000007E-2</v>
      </c>
      <c r="Q862" s="2">
        <v>246.38950000000003</v>
      </c>
      <c r="R862">
        <v>7</v>
      </c>
      <c r="S862" t="str">
        <f t="shared" si="13"/>
        <v>Abril</v>
      </c>
    </row>
    <row r="863" spans="1:19" hidden="1" x14ac:dyDescent="0.3">
      <c r="A863">
        <v>862</v>
      </c>
      <c r="B863" s="1">
        <v>44291</v>
      </c>
      <c r="C863">
        <v>27</v>
      </c>
      <c r="D863" t="s">
        <v>88</v>
      </c>
      <c r="E863" t="s">
        <v>101</v>
      </c>
      <c r="F863">
        <v>23</v>
      </c>
      <c r="G863" s="2">
        <v>110</v>
      </c>
      <c r="H863" s="2">
        <v>2530</v>
      </c>
      <c r="I863" s="1">
        <v>7.0000000000000007E-2</v>
      </c>
      <c r="J863" s="2">
        <v>2352.9</v>
      </c>
      <c r="K863" s="1">
        <v>44308</v>
      </c>
      <c r="L863" s="1">
        <v>44308</v>
      </c>
      <c r="M863">
        <v>862</v>
      </c>
      <c r="N863">
        <v>1</v>
      </c>
      <c r="O863" t="s">
        <v>27</v>
      </c>
      <c r="P863" s="3">
        <v>0.06</v>
      </c>
      <c r="Q863" s="2">
        <v>141.17400000000001</v>
      </c>
      <c r="R863">
        <v>1</v>
      </c>
      <c r="S863" t="str">
        <f t="shared" si="13"/>
        <v>Abril</v>
      </c>
    </row>
    <row r="864" spans="1:19" hidden="1" x14ac:dyDescent="0.3">
      <c r="A864">
        <v>863</v>
      </c>
      <c r="B864" s="1">
        <v>44291</v>
      </c>
      <c r="C864">
        <v>32</v>
      </c>
      <c r="D864" t="s">
        <v>64</v>
      </c>
      <c r="E864" t="s">
        <v>103</v>
      </c>
      <c r="F864">
        <v>46</v>
      </c>
      <c r="G864" s="2">
        <v>106</v>
      </c>
      <c r="H864" s="2">
        <v>4876</v>
      </c>
      <c r="I864" s="1">
        <v>0.01</v>
      </c>
      <c r="J864" s="2">
        <v>4827.24</v>
      </c>
      <c r="K864" s="1">
        <v>44312</v>
      </c>
      <c r="L864" s="1">
        <v>44312</v>
      </c>
      <c r="M864">
        <v>863</v>
      </c>
      <c r="N864">
        <v>1</v>
      </c>
      <c r="O864" t="s">
        <v>25</v>
      </c>
      <c r="P864" s="3">
        <v>0.08</v>
      </c>
      <c r="Q864" s="2">
        <v>386.17919999999998</v>
      </c>
      <c r="R864">
        <v>2</v>
      </c>
      <c r="S864" t="str">
        <f t="shared" si="13"/>
        <v>Abril</v>
      </c>
    </row>
    <row r="865" spans="1:19" hidden="1" x14ac:dyDescent="0.3">
      <c r="A865">
        <v>864</v>
      </c>
      <c r="B865" s="1">
        <v>44292</v>
      </c>
      <c r="C865">
        <v>16</v>
      </c>
      <c r="D865" t="s">
        <v>22</v>
      </c>
      <c r="E865" t="s">
        <v>104</v>
      </c>
      <c r="F865">
        <v>28</v>
      </c>
      <c r="G865" s="2">
        <v>106</v>
      </c>
      <c r="H865" s="2">
        <v>2968</v>
      </c>
      <c r="I865" s="1">
        <v>7.0000000000000007E-2</v>
      </c>
      <c r="J865" s="2">
        <v>2760.24</v>
      </c>
      <c r="K865" s="1">
        <v>44292</v>
      </c>
      <c r="L865" s="1">
        <v>44292</v>
      </c>
      <c r="M865">
        <v>864</v>
      </c>
      <c r="N865">
        <v>4</v>
      </c>
      <c r="O865" t="s">
        <v>30</v>
      </c>
      <c r="P865" s="3">
        <v>0.1</v>
      </c>
      <c r="Q865" s="2">
        <v>276.024</v>
      </c>
      <c r="R865">
        <v>3</v>
      </c>
      <c r="S865" t="str">
        <f t="shared" si="13"/>
        <v>Abril</v>
      </c>
    </row>
    <row r="866" spans="1:19" hidden="1" x14ac:dyDescent="0.3">
      <c r="A866">
        <v>865</v>
      </c>
      <c r="B866" s="1">
        <v>44293</v>
      </c>
      <c r="C866">
        <v>29</v>
      </c>
      <c r="D866" t="s">
        <v>85</v>
      </c>
      <c r="E866" t="s">
        <v>103</v>
      </c>
      <c r="F866">
        <v>30</v>
      </c>
      <c r="G866" s="2">
        <v>112</v>
      </c>
      <c r="H866" s="2">
        <v>3360</v>
      </c>
      <c r="I866" s="1">
        <v>0</v>
      </c>
      <c r="J866" s="2">
        <v>3360</v>
      </c>
      <c r="K866" s="1">
        <v>44312</v>
      </c>
      <c r="L866" s="1">
        <v>44312</v>
      </c>
      <c r="M866">
        <v>865</v>
      </c>
      <c r="N866">
        <v>4</v>
      </c>
      <c r="O866" t="s">
        <v>38</v>
      </c>
      <c r="P866" s="3">
        <v>7.0000000000000007E-2</v>
      </c>
      <c r="Q866" s="2">
        <v>235.20000000000002</v>
      </c>
      <c r="R866">
        <v>4</v>
      </c>
      <c r="S866" t="str">
        <f t="shared" si="13"/>
        <v>Abril</v>
      </c>
    </row>
    <row r="867" spans="1:19" x14ac:dyDescent="0.3">
      <c r="A867">
        <v>866</v>
      </c>
      <c r="B867" s="1">
        <v>44293</v>
      </c>
      <c r="C867">
        <v>86</v>
      </c>
      <c r="D867" t="s">
        <v>77</v>
      </c>
      <c r="E867" t="s">
        <v>97</v>
      </c>
      <c r="F867">
        <v>39</v>
      </c>
      <c r="G867" s="2">
        <v>108</v>
      </c>
      <c r="H867" s="2">
        <v>4212</v>
      </c>
      <c r="I867" s="1">
        <v>0.15</v>
      </c>
      <c r="J867" s="2">
        <v>3580.2</v>
      </c>
      <c r="K867" s="1">
        <v>44307</v>
      </c>
      <c r="L867" s="1">
        <v>44307</v>
      </c>
      <c r="M867">
        <v>866</v>
      </c>
      <c r="N867">
        <v>7</v>
      </c>
      <c r="O867" t="s">
        <v>35</v>
      </c>
      <c r="P867" s="3">
        <v>0.05</v>
      </c>
      <c r="Q867" s="2">
        <v>179.01</v>
      </c>
      <c r="R867">
        <v>5</v>
      </c>
      <c r="S867" t="str">
        <f t="shared" si="13"/>
        <v>Abril</v>
      </c>
    </row>
    <row r="868" spans="1:19" hidden="1" x14ac:dyDescent="0.3">
      <c r="A868">
        <v>867</v>
      </c>
      <c r="B868" s="1">
        <v>44294</v>
      </c>
      <c r="C868">
        <v>18</v>
      </c>
      <c r="D868" t="s">
        <v>70</v>
      </c>
      <c r="E868" t="s">
        <v>102</v>
      </c>
      <c r="F868">
        <v>14</v>
      </c>
      <c r="G868" s="2">
        <v>97</v>
      </c>
      <c r="H868" s="2">
        <v>1358</v>
      </c>
      <c r="I868" s="1">
        <v>0.03</v>
      </c>
      <c r="J868" s="2">
        <v>1317.26</v>
      </c>
      <c r="K868" s="1">
        <v>44297</v>
      </c>
      <c r="L868" s="1">
        <v>44297</v>
      </c>
      <c r="M868">
        <v>867</v>
      </c>
      <c r="N868">
        <v>2</v>
      </c>
      <c r="O868" t="s">
        <v>56</v>
      </c>
      <c r="P868" s="3">
        <v>0.09</v>
      </c>
      <c r="Q868" s="2">
        <v>118.5534</v>
      </c>
      <c r="R868">
        <v>6</v>
      </c>
      <c r="S868" t="str">
        <f t="shared" si="13"/>
        <v>Abril</v>
      </c>
    </row>
    <row r="869" spans="1:19" hidden="1" x14ac:dyDescent="0.3">
      <c r="A869">
        <v>868</v>
      </c>
      <c r="B869" s="1">
        <v>44294</v>
      </c>
      <c r="C869">
        <v>81</v>
      </c>
      <c r="D869" t="s">
        <v>90</v>
      </c>
      <c r="E869" t="s">
        <v>97</v>
      </c>
      <c r="F869">
        <v>15</v>
      </c>
      <c r="G869" s="2">
        <v>90</v>
      </c>
      <c r="H869" s="2">
        <v>1350</v>
      </c>
      <c r="I869" s="1">
        <v>0.09</v>
      </c>
      <c r="J869" s="2">
        <v>1228.5</v>
      </c>
      <c r="K869" s="1">
        <v>44324</v>
      </c>
      <c r="L869" s="1">
        <v>44324</v>
      </c>
      <c r="M869">
        <v>868</v>
      </c>
      <c r="N869">
        <v>6</v>
      </c>
      <c r="O869" t="s">
        <v>27</v>
      </c>
      <c r="P869" s="3">
        <v>0.06</v>
      </c>
      <c r="Q869" s="2">
        <v>73.709999999999994</v>
      </c>
      <c r="R869">
        <v>7</v>
      </c>
      <c r="S869" t="str">
        <f t="shared" si="13"/>
        <v>Abril</v>
      </c>
    </row>
    <row r="870" spans="1:19" hidden="1" x14ac:dyDescent="0.3">
      <c r="A870">
        <v>869</v>
      </c>
      <c r="B870" s="1">
        <v>44295</v>
      </c>
      <c r="C870">
        <v>49</v>
      </c>
      <c r="D870" t="s">
        <v>31</v>
      </c>
      <c r="E870" t="s">
        <v>100</v>
      </c>
      <c r="F870">
        <v>29</v>
      </c>
      <c r="G870" s="2">
        <v>102</v>
      </c>
      <c r="H870" s="2">
        <v>2958</v>
      </c>
      <c r="I870" s="1">
        <v>0.13</v>
      </c>
      <c r="J870" s="2">
        <v>2573.46</v>
      </c>
      <c r="K870" s="1">
        <v>44300</v>
      </c>
      <c r="L870" s="1">
        <v>44300</v>
      </c>
      <c r="M870">
        <v>869</v>
      </c>
      <c r="N870">
        <v>3</v>
      </c>
      <c r="O870" t="s">
        <v>18</v>
      </c>
      <c r="P870" s="3">
        <v>0.1</v>
      </c>
      <c r="Q870" s="2">
        <v>257.346</v>
      </c>
      <c r="R870">
        <v>1</v>
      </c>
      <c r="S870" t="str">
        <f t="shared" si="13"/>
        <v>Abril</v>
      </c>
    </row>
    <row r="871" spans="1:19" hidden="1" x14ac:dyDescent="0.3">
      <c r="A871">
        <v>870</v>
      </c>
      <c r="B871" s="1">
        <v>44295</v>
      </c>
      <c r="C871">
        <v>59</v>
      </c>
      <c r="D871" t="s">
        <v>84</v>
      </c>
      <c r="E871" t="s">
        <v>96</v>
      </c>
      <c r="F871">
        <v>29</v>
      </c>
      <c r="G871" s="2">
        <v>94</v>
      </c>
      <c r="H871" s="2">
        <v>2726</v>
      </c>
      <c r="I871" s="1">
        <v>0</v>
      </c>
      <c r="J871" s="2">
        <v>2726</v>
      </c>
      <c r="K871" s="1">
        <v>44313</v>
      </c>
      <c r="L871" s="1">
        <v>44313</v>
      </c>
      <c r="M871">
        <v>870</v>
      </c>
      <c r="N871">
        <v>1</v>
      </c>
      <c r="O871" t="s">
        <v>25</v>
      </c>
      <c r="P871" s="3">
        <v>0.05</v>
      </c>
      <c r="Q871" s="2">
        <v>136.30000000000001</v>
      </c>
      <c r="R871">
        <v>2</v>
      </c>
      <c r="S871" t="str">
        <f t="shared" si="13"/>
        <v>Abril</v>
      </c>
    </row>
    <row r="872" spans="1:19" hidden="1" x14ac:dyDescent="0.3">
      <c r="A872">
        <v>871</v>
      </c>
      <c r="B872" s="1">
        <v>44296</v>
      </c>
      <c r="C872">
        <v>15</v>
      </c>
      <c r="D872" t="s">
        <v>64</v>
      </c>
      <c r="E872" t="s">
        <v>97</v>
      </c>
      <c r="F872">
        <v>35</v>
      </c>
      <c r="G872" s="2">
        <v>109</v>
      </c>
      <c r="H872" s="2">
        <v>3815</v>
      </c>
      <c r="I872" s="1">
        <v>0.01</v>
      </c>
      <c r="J872" s="2">
        <v>3776.85</v>
      </c>
      <c r="K872" s="1">
        <v>44316</v>
      </c>
      <c r="L872" s="1">
        <v>44316</v>
      </c>
      <c r="M872">
        <v>871</v>
      </c>
      <c r="N872">
        <v>6</v>
      </c>
      <c r="O872" t="s">
        <v>25</v>
      </c>
      <c r="P872" s="3">
        <v>0.06</v>
      </c>
      <c r="Q872" s="2">
        <v>226.61099999999999</v>
      </c>
      <c r="R872">
        <v>3</v>
      </c>
      <c r="S872" t="str">
        <f t="shared" si="13"/>
        <v>Abril</v>
      </c>
    </row>
    <row r="873" spans="1:19" hidden="1" x14ac:dyDescent="0.3">
      <c r="A873">
        <v>872</v>
      </c>
      <c r="B873" s="1">
        <v>44296</v>
      </c>
      <c r="C873">
        <v>62</v>
      </c>
      <c r="D873" t="s">
        <v>31</v>
      </c>
      <c r="E873" t="s">
        <v>96</v>
      </c>
      <c r="F873">
        <v>41</v>
      </c>
      <c r="G873" s="2">
        <v>115</v>
      </c>
      <c r="H873" s="2">
        <v>4715</v>
      </c>
      <c r="I873" s="1">
        <v>0.02</v>
      </c>
      <c r="J873" s="2">
        <v>4620.7</v>
      </c>
      <c r="K873" s="1">
        <v>44309</v>
      </c>
      <c r="L873" s="1">
        <v>44309</v>
      </c>
      <c r="M873">
        <v>872</v>
      </c>
      <c r="N873">
        <v>1</v>
      </c>
      <c r="O873" t="s">
        <v>56</v>
      </c>
      <c r="P873" s="3">
        <v>0.09</v>
      </c>
      <c r="Q873" s="2">
        <v>415.86299999999994</v>
      </c>
      <c r="R873">
        <v>4</v>
      </c>
      <c r="S873" t="str">
        <f t="shared" si="13"/>
        <v>Abril</v>
      </c>
    </row>
    <row r="874" spans="1:19" hidden="1" x14ac:dyDescent="0.3">
      <c r="A874">
        <v>873</v>
      </c>
      <c r="B874" s="1">
        <v>44296</v>
      </c>
      <c r="C874">
        <v>2</v>
      </c>
      <c r="D874" t="s">
        <v>28</v>
      </c>
      <c r="E874" t="s">
        <v>99</v>
      </c>
      <c r="F874">
        <v>30</v>
      </c>
      <c r="G874" s="2">
        <v>108</v>
      </c>
      <c r="H874" s="2">
        <v>3240</v>
      </c>
      <c r="I874" s="1">
        <v>0.05</v>
      </c>
      <c r="J874" s="2">
        <v>3078</v>
      </c>
      <c r="K874" s="1">
        <v>44302</v>
      </c>
      <c r="L874" s="1">
        <v>44302</v>
      </c>
      <c r="M874">
        <v>873</v>
      </c>
      <c r="N874">
        <v>6</v>
      </c>
      <c r="O874" t="s">
        <v>38</v>
      </c>
      <c r="P874" s="3">
        <v>0.05</v>
      </c>
      <c r="Q874" s="2">
        <v>153.9</v>
      </c>
      <c r="R874">
        <v>5</v>
      </c>
      <c r="S874" t="str">
        <f t="shared" si="13"/>
        <v>Abril</v>
      </c>
    </row>
    <row r="875" spans="1:19" hidden="1" x14ac:dyDescent="0.3">
      <c r="A875">
        <v>874</v>
      </c>
      <c r="B875" s="1">
        <v>44299</v>
      </c>
      <c r="C875">
        <v>41</v>
      </c>
      <c r="D875" t="s">
        <v>55</v>
      </c>
      <c r="E875" t="s">
        <v>99</v>
      </c>
      <c r="F875">
        <v>17</v>
      </c>
      <c r="G875" s="2">
        <v>115</v>
      </c>
      <c r="H875" s="2">
        <v>1955</v>
      </c>
      <c r="I875" s="1">
        <v>0</v>
      </c>
      <c r="J875" s="2">
        <v>1955</v>
      </c>
      <c r="K875" s="1">
        <v>44307</v>
      </c>
      <c r="L875" s="1">
        <v>44307</v>
      </c>
      <c r="M875">
        <v>874</v>
      </c>
      <c r="N875">
        <v>6</v>
      </c>
      <c r="O875" t="s">
        <v>38</v>
      </c>
      <c r="P875" s="3">
        <v>0.1</v>
      </c>
      <c r="Q875" s="2">
        <v>195.5</v>
      </c>
      <c r="R875">
        <v>6</v>
      </c>
      <c r="S875" t="str">
        <f t="shared" si="13"/>
        <v>Abril</v>
      </c>
    </row>
    <row r="876" spans="1:19" hidden="1" x14ac:dyDescent="0.3">
      <c r="A876">
        <v>875</v>
      </c>
      <c r="B876" s="1">
        <v>44302</v>
      </c>
      <c r="C876">
        <v>31</v>
      </c>
      <c r="D876" t="s">
        <v>72</v>
      </c>
      <c r="E876" t="s">
        <v>97</v>
      </c>
      <c r="F876">
        <v>37</v>
      </c>
      <c r="G876" s="2">
        <v>111</v>
      </c>
      <c r="H876" s="2">
        <v>4107</v>
      </c>
      <c r="I876" s="1">
        <v>0</v>
      </c>
      <c r="J876" s="2">
        <v>4107</v>
      </c>
      <c r="K876" s="1">
        <v>44314</v>
      </c>
      <c r="L876" s="1">
        <v>44314</v>
      </c>
      <c r="M876">
        <v>875</v>
      </c>
      <c r="N876">
        <v>5</v>
      </c>
      <c r="O876" t="s">
        <v>20</v>
      </c>
      <c r="P876" s="3">
        <v>0.1</v>
      </c>
      <c r="Q876" s="2">
        <v>410.70000000000005</v>
      </c>
      <c r="R876">
        <v>7</v>
      </c>
      <c r="S876" t="str">
        <f t="shared" si="13"/>
        <v>Abril</v>
      </c>
    </row>
    <row r="877" spans="1:19" hidden="1" x14ac:dyDescent="0.3">
      <c r="A877">
        <v>876</v>
      </c>
      <c r="B877" s="1">
        <v>44304</v>
      </c>
      <c r="C877">
        <v>34</v>
      </c>
      <c r="D877" t="s">
        <v>46</v>
      </c>
      <c r="E877" t="s">
        <v>98</v>
      </c>
      <c r="F877">
        <v>38</v>
      </c>
      <c r="G877" s="2">
        <v>108</v>
      </c>
      <c r="H877" s="2">
        <v>4104</v>
      </c>
      <c r="I877" s="1">
        <v>0.06</v>
      </c>
      <c r="J877" s="2">
        <v>3857.76</v>
      </c>
      <c r="K877" s="1">
        <v>44306</v>
      </c>
      <c r="L877" s="1">
        <v>44306</v>
      </c>
      <c r="M877">
        <v>876</v>
      </c>
      <c r="N877">
        <v>1</v>
      </c>
      <c r="O877" t="s">
        <v>42</v>
      </c>
      <c r="P877" s="3">
        <v>0.1</v>
      </c>
      <c r="Q877" s="2">
        <v>385.77600000000007</v>
      </c>
      <c r="R877">
        <v>1</v>
      </c>
      <c r="S877" t="str">
        <f t="shared" si="13"/>
        <v>Abril</v>
      </c>
    </row>
    <row r="878" spans="1:19" hidden="1" x14ac:dyDescent="0.3">
      <c r="A878">
        <v>877</v>
      </c>
      <c r="B878" s="1">
        <v>44304</v>
      </c>
      <c r="C878">
        <v>28</v>
      </c>
      <c r="D878" t="s">
        <v>73</v>
      </c>
      <c r="E878" t="s">
        <v>95</v>
      </c>
      <c r="F878">
        <v>42</v>
      </c>
      <c r="G878" s="2">
        <v>96</v>
      </c>
      <c r="H878" s="2">
        <v>4032</v>
      </c>
      <c r="I878" s="1">
        <v>0.12</v>
      </c>
      <c r="J878" s="2">
        <v>3548.16</v>
      </c>
      <c r="K878" s="1">
        <v>44307</v>
      </c>
      <c r="L878" s="1">
        <v>44307</v>
      </c>
      <c r="M878">
        <v>877</v>
      </c>
      <c r="N878">
        <v>6</v>
      </c>
      <c r="O878" t="s">
        <v>38</v>
      </c>
      <c r="P878" s="3">
        <v>0.08</v>
      </c>
      <c r="Q878" s="2">
        <v>283.8528</v>
      </c>
      <c r="R878">
        <v>2</v>
      </c>
      <c r="S878" t="str">
        <f t="shared" si="13"/>
        <v>Abril</v>
      </c>
    </row>
    <row r="879" spans="1:19" hidden="1" x14ac:dyDescent="0.3">
      <c r="A879">
        <v>878</v>
      </c>
      <c r="B879" s="1">
        <v>44306</v>
      </c>
      <c r="C879">
        <v>6</v>
      </c>
      <c r="D879" t="s">
        <v>75</v>
      </c>
      <c r="E879" t="s">
        <v>96</v>
      </c>
      <c r="F879">
        <v>16</v>
      </c>
      <c r="G879" s="2">
        <v>93</v>
      </c>
      <c r="H879" s="2">
        <v>1488</v>
      </c>
      <c r="I879" s="1">
        <v>0.12</v>
      </c>
      <c r="J879" s="2">
        <v>1309.44</v>
      </c>
      <c r="K879" s="1">
        <v>44330</v>
      </c>
      <c r="L879" s="1">
        <v>44330</v>
      </c>
      <c r="M879">
        <v>878</v>
      </c>
      <c r="N879">
        <v>1</v>
      </c>
      <c r="O879" t="s">
        <v>23</v>
      </c>
      <c r="P879" s="3">
        <v>0.05</v>
      </c>
      <c r="Q879" s="2">
        <v>65.472000000000008</v>
      </c>
      <c r="R879">
        <v>3</v>
      </c>
      <c r="S879" t="str">
        <f t="shared" si="13"/>
        <v>Abril</v>
      </c>
    </row>
    <row r="880" spans="1:19" hidden="1" x14ac:dyDescent="0.3">
      <c r="A880">
        <v>879</v>
      </c>
      <c r="B880" s="1">
        <v>44306</v>
      </c>
      <c r="C880">
        <v>37</v>
      </c>
      <c r="D880" t="s">
        <v>39</v>
      </c>
      <c r="E880" t="s">
        <v>96</v>
      </c>
      <c r="F880">
        <v>44</v>
      </c>
      <c r="G880" s="2">
        <v>96</v>
      </c>
      <c r="H880" s="2">
        <v>4224</v>
      </c>
      <c r="I880" s="1">
        <v>0.05</v>
      </c>
      <c r="J880" s="2">
        <v>4012.8</v>
      </c>
      <c r="K880" s="1">
        <v>44318</v>
      </c>
      <c r="L880" s="1">
        <v>44318</v>
      </c>
      <c r="M880">
        <v>879</v>
      </c>
      <c r="N880">
        <v>7</v>
      </c>
      <c r="O880" t="s">
        <v>20</v>
      </c>
      <c r="P880" s="3">
        <v>0.08</v>
      </c>
      <c r="Q880" s="2">
        <v>321.024</v>
      </c>
      <c r="R880">
        <v>4</v>
      </c>
      <c r="S880" t="str">
        <f t="shared" si="13"/>
        <v>Abril</v>
      </c>
    </row>
    <row r="881" spans="1:19" hidden="1" x14ac:dyDescent="0.3">
      <c r="A881">
        <v>880</v>
      </c>
      <c r="B881" s="1">
        <v>44306</v>
      </c>
      <c r="C881">
        <v>45</v>
      </c>
      <c r="D881" t="s">
        <v>31</v>
      </c>
      <c r="E881" t="s">
        <v>95</v>
      </c>
      <c r="F881">
        <v>43</v>
      </c>
      <c r="G881" s="2">
        <v>110</v>
      </c>
      <c r="H881" s="2">
        <v>4730</v>
      </c>
      <c r="I881" s="1">
        <v>0.03</v>
      </c>
      <c r="J881" s="2">
        <v>4588.1000000000004</v>
      </c>
      <c r="K881" s="1">
        <v>44333</v>
      </c>
      <c r="L881" s="1">
        <v>44333</v>
      </c>
      <c r="M881">
        <v>880</v>
      </c>
      <c r="N881">
        <v>2</v>
      </c>
      <c r="O881" t="s">
        <v>18</v>
      </c>
      <c r="P881" s="3">
        <v>0.08</v>
      </c>
      <c r="Q881" s="2">
        <v>367.04800000000006</v>
      </c>
      <c r="R881">
        <v>5</v>
      </c>
      <c r="S881" t="str">
        <f t="shared" si="13"/>
        <v>Abril</v>
      </c>
    </row>
    <row r="882" spans="1:19" hidden="1" x14ac:dyDescent="0.3">
      <c r="A882">
        <v>881</v>
      </c>
      <c r="B882" s="1">
        <v>44306</v>
      </c>
      <c r="C882">
        <v>53</v>
      </c>
      <c r="D882" t="s">
        <v>75</v>
      </c>
      <c r="E882" t="s">
        <v>99</v>
      </c>
      <c r="F882">
        <v>31</v>
      </c>
      <c r="G882" s="2">
        <v>120</v>
      </c>
      <c r="H882" s="2">
        <v>3720</v>
      </c>
      <c r="I882" s="1">
        <v>0.14000000000000001</v>
      </c>
      <c r="J882" s="2">
        <v>3199.2</v>
      </c>
      <c r="K882" s="1">
        <v>44317</v>
      </c>
      <c r="L882" s="1">
        <v>44317</v>
      </c>
      <c r="M882">
        <v>881</v>
      </c>
      <c r="N882">
        <v>3</v>
      </c>
      <c r="O882" t="s">
        <v>18</v>
      </c>
      <c r="P882" s="3">
        <v>0.1</v>
      </c>
      <c r="Q882" s="2">
        <v>319.92</v>
      </c>
      <c r="R882">
        <v>6</v>
      </c>
      <c r="S882" t="str">
        <f t="shared" si="13"/>
        <v>Abril</v>
      </c>
    </row>
    <row r="883" spans="1:19" hidden="1" x14ac:dyDescent="0.3">
      <c r="A883">
        <v>882</v>
      </c>
      <c r="B883" s="1">
        <v>44307</v>
      </c>
      <c r="C883">
        <v>9</v>
      </c>
      <c r="D883" t="s">
        <v>29</v>
      </c>
      <c r="E883" t="s">
        <v>98</v>
      </c>
      <c r="F883">
        <v>33</v>
      </c>
      <c r="G883" s="2">
        <v>109</v>
      </c>
      <c r="H883" s="2">
        <v>3597</v>
      </c>
      <c r="I883" s="1">
        <v>0.03</v>
      </c>
      <c r="J883" s="2">
        <v>3489.09</v>
      </c>
      <c r="K883" s="1">
        <v>44311</v>
      </c>
      <c r="L883" s="1">
        <v>44311</v>
      </c>
      <c r="M883">
        <v>882</v>
      </c>
      <c r="N883">
        <v>1</v>
      </c>
      <c r="O883" t="s">
        <v>18</v>
      </c>
      <c r="P883" s="3">
        <v>0.1</v>
      </c>
      <c r="Q883" s="2">
        <v>348.90900000000005</v>
      </c>
      <c r="R883">
        <v>7</v>
      </c>
      <c r="S883" t="str">
        <f t="shared" si="13"/>
        <v>Abril</v>
      </c>
    </row>
    <row r="884" spans="1:19" x14ac:dyDescent="0.3">
      <c r="A884">
        <v>883</v>
      </c>
      <c r="B884" s="1">
        <v>44309</v>
      </c>
      <c r="C884">
        <v>65</v>
      </c>
      <c r="D884" t="s">
        <v>51</v>
      </c>
      <c r="E884" t="s">
        <v>95</v>
      </c>
      <c r="F884">
        <v>32</v>
      </c>
      <c r="G884" s="2">
        <v>118</v>
      </c>
      <c r="H884" s="2">
        <v>3776</v>
      </c>
      <c r="I884" s="1">
        <v>0</v>
      </c>
      <c r="J884" s="2">
        <v>3776</v>
      </c>
      <c r="K884" s="1">
        <v>44337</v>
      </c>
      <c r="L884" s="1">
        <v>44337</v>
      </c>
      <c r="M884">
        <v>883</v>
      </c>
      <c r="N884">
        <v>7</v>
      </c>
      <c r="O884" t="s">
        <v>35</v>
      </c>
      <c r="P884" s="3">
        <v>7.0000000000000007E-2</v>
      </c>
      <c r="Q884" s="2">
        <v>264.32000000000005</v>
      </c>
      <c r="R884">
        <v>1</v>
      </c>
      <c r="S884" t="str">
        <f t="shared" si="13"/>
        <v>Abril</v>
      </c>
    </row>
    <row r="885" spans="1:19" hidden="1" x14ac:dyDescent="0.3">
      <c r="A885">
        <v>884</v>
      </c>
      <c r="B885" s="1">
        <v>44309</v>
      </c>
      <c r="C885">
        <v>36</v>
      </c>
      <c r="D885" t="s">
        <v>57</v>
      </c>
      <c r="E885" t="s">
        <v>95</v>
      </c>
      <c r="F885">
        <v>34</v>
      </c>
      <c r="G885" s="2">
        <v>111</v>
      </c>
      <c r="H885" s="2">
        <v>3774</v>
      </c>
      <c r="I885" s="1">
        <v>0.08</v>
      </c>
      <c r="J885" s="2">
        <v>3472.08</v>
      </c>
      <c r="K885" s="1">
        <v>44334</v>
      </c>
      <c r="L885" s="1">
        <v>44334</v>
      </c>
      <c r="M885">
        <v>884</v>
      </c>
      <c r="N885">
        <v>3</v>
      </c>
      <c r="O885" t="s">
        <v>30</v>
      </c>
      <c r="P885" s="3">
        <v>0.05</v>
      </c>
      <c r="Q885" s="2">
        <v>173.60400000000001</v>
      </c>
      <c r="R885">
        <v>2</v>
      </c>
      <c r="S885" t="str">
        <f t="shared" si="13"/>
        <v>Abril</v>
      </c>
    </row>
    <row r="886" spans="1:19" x14ac:dyDescent="0.3">
      <c r="A886">
        <v>885</v>
      </c>
      <c r="B886" s="1">
        <v>44309</v>
      </c>
      <c r="C886">
        <v>78</v>
      </c>
      <c r="D886" t="s">
        <v>29</v>
      </c>
      <c r="E886" t="s">
        <v>99</v>
      </c>
      <c r="F886">
        <v>44</v>
      </c>
      <c r="G886" s="2">
        <v>99</v>
      </c>
      <c r="H886" s="2">
        <v>4356</v>
      </c>
      <c r="I886" s="1">
        <v>0.11</v>
      </c>
      <c r="J886" s="2">
        <v>3876.84</v>
      </c>
      <c r="K886" s="1">
        <v>44326</v>
      </c>
      <c r="L886" s="1">
        <v>44326</v>
      </c>
      <c r="M886">
        <v>885</v>
      </c>
      <c r="N886">
        <v>4</v>
      </c>
      <c r="O886" t="s">
        <v>35</v>
      </c>
      <c r="P886" s="3">
        <v>0.05</v>
      </c>
      <c r="Q886" s="2">
        <v>193.84200000000001</v>
      </c>
      <c r="R886">
        <v>3</v>
      </c>
      <c r="S886" t="str">
        <f t="shared" si="13"/>
        <v>Abril</v>
      </c>
    </row>
    <row r="887" spans="1:19" hidden="1" x14ac:dyDescent="0.3">
      <c r="A887">
        <v>886</v>
      </c>
      <c r="B887" s="1">
        <v>44310</v>
      </c>
      <c r="C887">
        <v>86</v>
      </c>
      <c r="D887" t="s">
        <v>77</v>
      </c>
      <c r="E887" t="s">
        <v>98</v>
      </c>
      <c r="F887">
        <v>29</v>
      </c>
      <c r="G887" s="2">
        <v>114</v>
      </c>
      <c r="H887" s="2">
        <v>3306</v>
      </c>
      <c r="I887" s="1">
        <v>7.0000000000000007E-2</v>
      </c>
      <c r="J887" s="2">
        <v>3074.58</v>
      </c>
      <c r="K887" s="1">
        <v>44339</v>
      </c>
      <c r="L887" s="1">
        <v>44339</v>
      </c>
      <c r="M887">
        <v>886</v>
      </c>
      <c r="N887">
        <v>2</v>
      </c>
      <c r="O887" t="s">
        <v>23</v>
      </c>
      <c r="P887" s="3">
        <v>7.0000000000000007E-2</v>
      </c>
      <c r="Q887" s="2">
        <v>215.22060000000002</v>
      </c>
      <c r="R887">
        <v>4</v>
      </c>
      <c r="S887" t="str">
        <f t="shared" si="13"/>
        <v>Abril</v>
      </c>
    </row>
    <row r="888" spans="1:19" hidden="1" x14ac:dyDescent="0.3">
      <c r="A888">
        <v>887</v>
      </c>
      <c r="B888" s="1">
        <v>44310</v>
      </c>
      <c r="C888">
        <v>70</v>
      </c>
      <c r="D888" t="s">
        <v>54</v>
      </c>
      <c r="E888" t="s">
        <v>95</v>
      </c>
      <c r="F888">
        <v>29</v>
      </c>
      <c r="G888" s="2">
        <v>117</v>
      </c>
      <c r="H888" s="2">
        <v>3393</v>
      </c>
      <c r="I888" s="1">
        <v>0.01</v>
      </c>
      <c r="J888" s="2">
        <v>3359.07</v>
      </c>
      <c r="K888" s="1">
        <v>44325</v>
      </c>
      <c r="L888" s="1">
        <v>44325</v>
      </c>
      <c r="M888">
        <v>887</v>
      </c>
      <c r="N888">
        <v>4</v>
      </c>
      <c r="O888" t="s">
        <v>42</v>
      </c>
      <c r="P888" s="3">
        <v>0.06</v>
      </c>
      <c r="Q888" s="2">
        <v>201.54419999999999</v>
      </c>
      <c r="R888">
        <v>5</v>
      </c>
      <c r="S888" t="str">
        <f t="shared" si="13"/>
        <v>Abril</v>
      </c>
    </row>
    <row r="889" spans="1:19" hidden="1" x14ac:dyDescent="0.3">
      <c r="A889">
        <v>888</v>
      </c>
      <c r="B889" s="1">
        <v>44311</v>
      </c>
      <c r="C889">
        <v>18</v>
      </c>
      <c r="D889" t="s">
        <v>70</v>
      </c>
      <c r="E889" t="s">
        <v>97</v>
      </c>
      <c r="F889">
        <v>25</v>
      </c>
      <c r="G889" s="2">
        <v>107</v>
      </c>
      <c r="H889" s="2">
        <v>2675</v>
      </c>
      <c r="I889" s="1">
        <v>0.06</v>
      </c>
      <c r="J889" s="2">
        <v>2514.5</v>
      </c>
      <c r="K889" s="1">
        <v>44312</v>
      </c>
      <c r="L889" s="1">
        <v>44312</v>
      </c>
      <c r="M889">
        <v>888</v>
      </c>
      <c r="N889">
        <v>7</v>
      </c>
      <c r="O889" t="s">
        <v>25</v>
      </c>
      <c r="P889" s="3">
        <v>0.05</v>
      </c>
      <c r="Q889" s="2">
        <v>125.72500000000001</v>
      </c>
      <c r="R889">
        <v>6</v>
      </c>
      <c r="S889" t="str">
        <f t="shared" si="13"/>
        <v>Abril</v>
      </c>
    </row>
    <row r="890" spans="1:19" hidden="1" x14ac:dyDescent="0.3">
      <c r="A890">
        <v>889</v>
      </c>
      <c r="B890" s="1">
        <v>44312</v>
      </c>
      <c r="C890">
        <v>12</v>
      </c>
      <c r="D890" t="s">
        <v>37</v>
      </c>
      <c r="E890" t="s">
        <v>99</v>
      </c>
      <c r="F890">
        <v>30</v>
      </c>
      <c r="G890" s="2">
        <v>95</v>
      </c>
      <c r="H890" s="2">
        <v>2850</v>
      </c>
      <c r="I890" s="1">
        <v>0.12</v>
      </c>
      <c r="J890" s="2">
        <v>2508</v>
      </c>
      <c r="K890" s="1">
        <v>44333</v>
      </c>
      <c r="L890" s="1">
        <v>44333</v>
      </c>
      <c r="M890">
        <v>889</v>
      </c>
      <c r="N890">
        <v>1</v>
      </c>
      <c r="O890" t="s">
        <v>38</v>
      </c>
      <c r="P890" s="3">
        <v>0.08</v>
      </c>
      <c r="Q890" s="2">
        <v>200.64000000000001</v>
      </c>
      <c r="R890">
        <v>7</v>
      </c>
      <c r="S890" t="str">
        <f t="shared" si="13"/>
        <v>Abril</v>
      </c>
    </row>
    <row r="891" spans="1:19" hidden="1" x14ac:dyDescent="0.3">
      <c r="A891">
        <v>890</v>
      </c>
      <c r="B891" s="1">
        <v>44312</v>
      </c>
      <c r="C891">
        <v>33</v>
      </c>
      <c r="D891" t="s">
        <v>63</v>
      </c>
      <c r="E891" t="s">
        <v>104</v>
      </c>
      <c r="F891">
        <v>27</v>
      </c>
      <c r="G891" s="2">
        <v>99</v>
      </c>
      <c r="H891" s="2">
        <v>2673</v>
      </c>
      <c r="I891" s="1">
        <v>7.0000000000000007E-2</v>
      </c>
      <c r="J891" s="2">
        <v>2485.89</v>
      </c>
      <c r="K891" s="1">
        <v>44335</v>
      </c>
      <c r="L891" s="1">
        <v>44335</v>
      </c>
      <c r="M891">
        <v>890</v>
      </c>
      <c r="N891">
        <v>1</v>
      </c>
      <c r="O891" t="s">
        <v>42</v>
      </c>
      <c r="P891" s="3">
        <v>0.09</v>
      </c>
      <c r="Q891" s="2">
        <v>223.73009999999999</v>
      </c>
      <c r="R891">
        <v>1</v>
      </c>
      <c r="S891" t="str">
        <f t="shared" si="13"/>
        <v>Abril</v>
      </c>
    </row>
    <row r="892" spans="1:19" hidden="1" x14ac:dyDescent="0.3">
      <c r="A892">
        <v>891</v>
      </c>
      <c r="B892" s="1">
        <v>44312</v>
      </c>
      <c r="C892">
        <v>44</v>
      </c>
      <c r="D892" t="s">
        <v>58</v>
      </c>
      <c r="E892" t="s">
        <v>104</v>
      </c>
      <c r="F892">
        <v>26</v>
      </c>
      <c r="G892" s="2">
        <v>111</v>
      </c>
      <c r="H892" s="2">
        <v>2886</v>
      </c>
      <c r="I892" s="1">
        <v>0.09</v>
      </c>
      <c r="J892" s="2">
        <v>2626.26</v>
      </c>
      <c r="K892" s="1">
        <v>44328</v>
      </c>
      <c r="L892" s="1">
        <v>44328</v>
      </c>
      <c r="M892">
        <v>891</v>
      </c>
      <c r="N892">
        <v>1</v>
      </c>
      <c r="O892" t="s">
        <v>56</v>
      </c>
      <c r="P892" s="3">
        <v>7.0000000000000007E-2</v>
      </c>
      <c r="Q892" s="2">
        <v>183.83820000000003</v>
      </c>
      <c r="R892">
        <v>2</v>
      </c>
      <c r="S892" t="str">
        <f t="shared" si="13"/>
        <v>Abril</v>
      </c>
    </row>
    <row r="893" spans="1:19" hidden="1" x14ac:dyDescent="0.3">
      <c r="A893">
        <v>892</v>
      </c>
      <c r="B893" s="1">
        <v>44312</v>
      </c>
      <c r="C893">
        <v>67</v>
      </c>
      <c r="D893" t="s">
        <v>93</v>
      </c>
      <c r="E893" t="s">
        <v>96</v>
      </c>
      <c r="F893">
        <v>14</v>
      </c>
      <c r="G893" s="2">
        <v>95</v>
      </c>
      <c r="H893" s="2">
        <v>1330</v>
      </c>
      <c r="I893" s="1">
        <v>0.15</v>
      </c>
      <c r="J893" s="2">
        <v>1130.5</v>
      </c>
      <c r="K893" s="1">
        <v>44321</v>
      </c>
      <c r="L893" s="1">
        <v>44321</v>
      </c>
      <c r="M893">
        <v>892</v>
      </c>
      <c r="N893">
        <v>1</v>
      </c>
      <c r="O893" t="s">
        <v>56</v>
      </c>
      <c r="P893" s="3">
        <v>0.08</v>
      </c>
      <c r="Q893" s="2">
        <v>90.44</v>
      </c>
      <c r="R893">
        <v>3</v>
      </c>
      <c r="S893" t="str">
        <f t="shared" si="13"/>
        <v>Abril</v>
      </c>
    </row>
    <row r="894" spans="1:19" hidden="1" x14ac:dyDescent="0.3">
      <c r="A894">
        <v>893</v>
      </c>
      <c r="B894" s="1">
        <v>44313</v>
      </c>
      <c r="C894">
        <v>43</v>
      </c>
      <c r="D894" t="s">
        <v>86</v>
      </c>
      <c r="E894" t="s">
        <v>96</v>
      </c>
      <c r="F894">
        <v>33</v>
      </c>
      <c r="G894" s="2">
        <v>99</v>
      </c>
      <c r="H894" s="2">
        <v>3267</v>
      </c>
      <c r="I894" s="1">
        <v>0.11</v>
      </c>
      <c r="J894" s="2">
        <v>2907.63</v>
      </c>
      <c r="K894" s="1">
        <v>44314</v>
      </c>
      <c r="L894" s="1">
        <v>44314</v>
      </c>
      <c r="M894">
        <v>893</v>
      </c>
      <c r="N894">
        <v>3</v>
      </c>
      <c r="O894" t="s">
        <v>20</v>
      </c>
      <c r="P894" s="3">
        <v>0.1</v>
      </c>
      <c r="Q894" s="2">
        <v>290.76300000000003</v>
      </c>
      <c r="R894">
        <v>4</v>
      </c>
      <c r="S894" t="str">
        <f t="shared" si="13"/>
        <v>Abril</v>
      </c>
    </row>
    <row r="895" spans="1:19" hidden="1" x14ac:dyDescent="0.3">
      <c r="A895">
        <v>894</v>
      </c>
      <c r="B895" s="1">
        <v>44313</v>
      </c>
      <c r="C895">
        <v>80</v>
      </c>
      <c r="D895" t="s">
        <v>31</v>
      </c>
      <c r="E895" t="s">
        <v>104</v>
      </c>
      <c r="F895">
        <v>10</v>
      </c>
      <c r="G895" s="2">
        <v>92</v>
      </c>
      <c r="H895" s="2">
        <v>920</v>
      </c>
      <c r="I895" s="1">
        <v>0.03</v>
      </c>
      <c r="J895" s="2">
        <v>892.4</v>
      </c>
      <c r="K895" s="1">
        <v>44334</v>
      </c>
      <c r="L895" s="1">
        <v>44334</v>
      </c>
      <c r="M895">
        <v>894</v>
      </c>
      <c r="N895">
        <v>4</v>
      </c>
      <c r="O895" t="s">
        <v>27</v>
      </c>
      <c r="P895" s="3">
        <v>0.09</v>
      </c>
      <c r="Q895" s="2">
        <v>80.315999999999988</v>
      </c>
      <c r="R895">
        <v>5</v>
      </c>
      <c r="S895" t="str">
        <f t="shared" si="13"/>
        <v>Abril</v>
      </c>
    </row>
    <row r="896" spans="1:19" hidden="1" x14ac:dyDescent="0.3">
      <c r="A896">
        <v>895</v>
      </c>
      <c r="B896" s="1">
        <v>44314</v>
      </c>
      <c r="C896">
        <v>87</v>
      </c>
      <c r="D896" t="s">
        <v>33</v>
      </c>
      <c r="E896" t="s">
        <v>98</v>
      </c>
      <c r="F896">
        <v>43</v>
      </c>
      <c r="G896" s="2">
        <v>96</v>
      </c>
      <c r="H896" s="2">
        <v>4128</v>
      </c>
      <c r="I896" s="1">
        <v>7.0000000000000007E-2</v>
      </c>
      <c r="J896" s="2">
        <v>3839.04</v>
      </c>
      <c r="K896" s="1">
        <v>44315</v>
      </c>
      <c r="L896" s="1">
        <v>44315</v>
      </c>
      <c r="M896">
        <v>895</v>
      </c>
      <c r="N896">
        <v>2</v>
      </c>
      <c r="O896" t="s">
        <v>27</v>
      </c>
      <c r="P896" s="3">
        <v>0.06</v>
      </c>
      <c r="Q896" s="2">
        <v>230.3424</v>
      </c>
      <c r="R896">
        <v>6</v>
      </c>
      <c r="S896" t="str">
        <f t="shared" si="13"/>
        <v>Abril</v>
      </c>
    </row>
    <row r="897" spans="1:19" hidden="1" x14ac:dyDescent="0.3">
      <c r="A897">
        <v>896</v>
      </c>
      <c r="B897" s="1">
        <v>44314</v>
      </c>
      <c r="C897">
        <v>42</v>
      </c>
      <c r="D897" t="s">
        <v>79</v>
      </c>
      <c r="E897" t="s">
        <v>99</v>
      </c>
      <c r="F897">
        <v>18</v>
      </c>
      <c r="G897" s="2">
        <v>105</v>
      </c>
      <c r="H897" s="2">
        <v>1890</v>
      </c>
      <c r="I897" s="1">
        <v>7.0000000000000007E-2</v>
      </c>
      <c r="J897" s="2">
        <v>1757.7</v>
      </c>
      <c r="K897" s="1">
        <v>44336</v>
      </c>
      <c r="L897" s="1">
        <v>44336</v>
      </c>
      <c r="M897">
        <v>896</v>
      </c>
      <c r="N897">
        <v>2</v>
      </c>
      <c r="O897" t="s">
        <v>20</v>
      </c>
      <c r="P897" s="3">
        <v>7.0000000000000007E-2</v>
      </c>
      <c r="Q897" s="2">
        <v>123.03900000000002</v>
      </c>
      <c r="R897">
        <v>7</v>
      </c>
      <c r="S897" t="str">
        <f t="shared" si="13"/>
        <v>Abril</v>
      </c>
    </row>
    <row r="898" spans="1:19" hidden="1" x14ac:dyDescent="0.3">
      <c r="A898">
        <v>897</v>
      </c>
      <c r="B898" s="1">
        <v>44314</v>
      </c>
      <c r="C898">
        <v>31</v>
      </c>
      <c r="D898" t="s">
        <v>72</v>
      </c>
      <c r="E898" t="s">
        <v>99</v>
      </c>
      <c r="F898">
        <v>32</v>
      </c>
      <c r="G898" s="2">
        <v>100</v>
      </c>
      <c r="H898" s="2">
        <v>3200</v>
      </c>
      <c r="I898" s="1">
        <v>0.09</v>
      </c>
      <c r="J898" s="2">
        <v>2912</v>
      </c>
      <c r="K898" s="1">
        <v>44321</v>
      </c>
      <c r="L898" s="1">
        <v>44321</v>
      </c>
      <c r="M898">
        <v>897</v>
      </c>
      <c r="N898">
        <v>6</v>
      </c>
      <c r="O898" t="s">
        <v>18</v>
      </c>
      <c r="P898" s="3">
        <v>0.1</v>
      </c>
      <c r="Q898" s="2">
        <v>291.2</v>
      </c>
      <c r="R898">
        <v>1</v>
      </c>
      <c r="S898" t="str">
        <f t="shared" si="13"/>
        <v>Abril</v>
      </c>
    </row>
    <row r="899" spans="1:19" hidden="1" x14ac:dyDescent="0.3">
      <c r="A899">
        <v>898</v>
      </c>
      <c r="B899" s="1">
        <v>44315</v>
      </c>
      <c r="C899">
        <v>7</v>
      </c>
      <c r="D899" t="s">
        <v>89</v>
      </c>
      <c r="E899" t="s">
        <v>95</v>
      </c>
      <c r="F899">
        <v>35</v>
      </c>
      <c r="G899" s="2">
        <v>113</v>
      </c>
      <c r="H899" s="2">
        <v>3955</v>
      </c>
      <c r="I899" s="1">
        <v>0.05</v>
      </c>
      <c r="J899" s="2">
        <v>3757.25</v>
      </c>
      <c r="K899" s="1">
        <v>44322</v>
      </c>
      <c r="M899">
        <v>898</v>
      </c>
      <c r="N899">
        <v>1</v>
      </c>
      <c r="O899" t="s">
        <v>38</v>
      </c>
      <c r="P899" s="3">
        <v>0.09</v>
      </c>
      <c r="Q899" s="2">
        <v>338.15249999999997</v>
      </c>
      <c r="R899">
        <v>2</v>
      </c>
      <c r="S899" t="str">
        <f t="shared" ref="S899:S962" si="14">PROPER(TEXT(B899,"mmmm"))</f>
        <v>Abril</v>
      </c>
    </row>
    <row r="900" spans="1:19" hidden="1" x14ac:dyDescent="0.3">
      <c r="A900">
        <v>899</v>
      </c>
      <c r="B900" s="1">
        <v>44315</v>
      </c>
      <c r="C900">
        <v>54</v>
      </c>
      <c r="D900" t="s">
        <v>66</v>
      </c>
      <c r="E900" t="s">
        <v>97</v>
      </c>
      <c r="F900">
        <v>48</v>
      </c>
      <c r="G900" s="2">
        <v>102</v>
      </c>
      <c r="H900" s="2">
        <v>4896</v>
      </c>
      <c r="I900" s="1">
        <v>0.15</v>
      </c>
      <c r="J900" s="2">
        <v>4161.6000000000004</v>
      </c>
      <c r="K900" s="1">
        <v>44319</v>
      </c>
      <c r="L900" s="1">
        <v>44319</v>
      </c>
      <c r="M900">
        <v>899</v>
      </c>
      <c r="N900">
        <v>1</v>
      </c>
      <c r="O900" t="s">
        <v>27</v>
      </c>
      <c r="P900" s="3">
        <v>0.09</v>
      </c>
      <c r="Q900" s="2">
        <v>374.54400000000004</v>
      </c>
      <c r="R900">
        <v>3</v>
      </c>
      <c r="S900" t="str">
        <f t="shared" si="14"/>
        <v>Abril</v>
      </c>
    </row>
    <row r="901" spans="1:19" hidden="1" x14ac:dyDescent="0.3">
      <c r="A901">
        <v>900</v>
      </c>
      <c r="B901" s="1">
        <v>44315</v>
      </c>
      <c r="C901">
        <v>22</v>
      </c>
      <c r="D901" t="s">
        <v>41</v>
      </c>
      <c r="E901" t="s">
        <v>99</v>
      </c>
      <c r="F901">
        <v>35</v>
      </c>
      <c r="G901" s="2">
        <v>111</v>
      </c>
      <c r="H901" s="2">
        <v>3885</v>
      </c>
      <c r="I901" s="1">
        <v>0.06</v>
      </c>
      <c r="J901" s="2">
        <v>3651.9</v>
      </c>
      <c r="K901" s="1">
        <v>44322</v>
      </c>
      <c r="L901" s="1">
        <v>44322</v>
      </c>
      <c r="M901">
        <v>900</v>
      </c>
      <c r="N901">
        <v>5</v>
      </c>
      <c r="O901" t="s">
        <v>25</v>
      </c>
      <c r="P901" s="3">
        <v>0.1</v>
      </c>
      <c r="Q901" s="2">
        <v>365.19000000000005</v>
      </c>
      <c r="R901">
        <v>4</v>
      </c>
      <c r="S901" t="str">
        <f t="shared" si="14"/>
        <v>Abril</v>
      </c>
    </row>
    <row r="902" spans="1:19" x14ac:dyDescent="0.3">
      <c r="A902">
        <v>901</v>
      </c>
      <c r="B902" s="1">
        <v>44315</v>
      </c>
      <c r="C902">
        <v>39</v>
      </c>
      <c r="D902" t="s">
        <v>31</v>
      </c>
      <c r="E902" t="s">
        <v>95</v>
      </c>
      <c r="F902">
        <v>46</v>
      </c>
      <c r="G902" s="2">
        <v>112</v>
      </c>
      <c r="H902" s="2">
        <v>5152</v>
      </c>
      <c r="I902" s="1">
        <v>0.02</v>
      </c>
      <c r="J902" s="2">
        <v>5048.96</v>
      </c>
      <c r="K902" s="1">
        <v>44330</v>
      </c>
      <c r="L902" s="1">
        <v>44330</v>
      </c>
      <c r="M902">
        <v>901</v>
      </c>
      <c r="N902">
        <v>4</v>
      </c>
      <c r="O902" t="s">
        <v>35</v>
      </c>
      <c r="P902" s="3">
        <v>0.05</v>
      </c>
      <c r="Q902" s="2">
        <v>252.44800000000001</v>
      </c>
      <c r="R902">
        <v>5</v>
      </c>
      <c r="S902" t="str">
        <f t="shared" si="14"/>
        <v>Abril</v>
      </c>
    </row>
    <row r="903" spans="1:19" hidden="1" x14ac:dyDescent="0.3">
      <c r="A903">
        <v>902</v>
      </c>
      <c r="B903" s="1">
        <v>44316</v>
      </c>
      <c r="C903">
        <v>100</v>
      </c>
      <c r="D903" t="s">
        <v>31</v>
      </c>
      <c r="E903" t="s">
        <v>102</v>
      </c>
      <c r="F903">
        <v>31</v>
      </c>
      <c r="G903" s="2">
        <v>109</v>
      </c>
      <c r="H903" s="2">
        <v>3379</v>
      </c>
      <c r="I903" s="1">
        <v>0.08</v>
      </c>
      <c r="J903" s="2">
        <v>3108.68</v>
      </c>
      <c r="K903" s="1">
        <v>44344</v>
      </c>
      <c r="L903" s="1">
        <v>44344</v>
      </c>
      <c r="M903">
        <v>902</v>
      </c>
      <c r="N903">
        <v>6</v>
      </c>
      <c r="O903" t="s">
        <v>42</v>
      </c>
      <c r="P903" s="3">
        <v>7.0000000000000007E-2</v>
      </c>
      <c r="Q903" s="2">
        <v>217.60760000000002</v>
      </c>
      <c r="R903">
        <v>6</v>
      </c>
      <c r="S903" t="str">
        <f t="shared" si="14"/>
        <v>Abril</v>
      </c>
    </row>
    <row r="904" spans="1:19" hidden="1" x14ac:dyDescent="0.3">
      <c r="A904">
        <v>903</v>
      </c>
      <c r="B904" s="1">
        <v>44316</v>
      </c>
      <c r="C904">
        <v>28</v>
      </c>
      <c r="D904" t="s">
        <v>73</v>
      </c>
      <c r="E904" t="s">
        <v>97</v>
      </c>
      <c r="F904">
        <v>40</v>
      </c>
      <c r="G904" s="2">
        <v>103</v>
      </c>
      <c r="H904" s="2">
        <v>4120</v>
      </c>
      <c r="I904" s="1">
        <v>0.08</v>
      </c>
      <c r="J904" s="2">
        <v>3790.4</v>
      </c>
      <c r="K904" s="1">
        <v>44328</v>
      </c>
      <c r="L904" s="1">
        <v>44328</v>
      </c>
      <c r="M904">
        <v>903</v>
      </c>
      <c r="N904">
        <v>6</v>
      </c>
      <c r="O904" t="s">
        <v>42</v>
      </c>
      <c r="P904" s="3">
        <v>7.0000000000000007E-2</v>
      </c>
      <c r="Q904" s="2">
        <v>265.32800000000003</v>
      </c>
      <c r="R904">
        <v>7</v>
      </c>
      <c r="S904" t="str">
        <f t="shared" si="14"/>
        <v>Abril</v>
      </c>
    </row>
    <row r="905" spans="1:19" hidden="1" x14ac:dyDescent="0.3">
      <c r="A905">
        <v>904</v>
      </c>
      <c r="B905" s="1">
        <v>44316</v>
      </c>
      <c r="C905">
        <v>65</v>
      </c>
      <c r="D905" t="s">
        <v>51</v>
      </c>
      <c r="E905" t="s">
        <v>96</v>
      </c>
      <c r="F905">
        <v>20</v>
      </c>
      <c r="G905" s="2">
        <v>90</v>
      </c>
      <c r="H905" s="2">
        <v>1800</v>
      </c>
      <c r="I905" s="1">
        <v>0.01</v>
      </c>
      <c r="J905" s="2">
        <v>1782</v>
      </c>
      <c r="K905" s="1">
        <v>44337</v>
      </c>
      <c r="L905" s="1">
        <v>44337</v>
      </c>
      <c r="M905">
        <v>904</v>
      </c>
      <c r="N905">
        <v>5</v>
      </c>
      <c r="O905" t="s">
        <v>25</v>
      </c>
      <c r="P905" s="3">
        <v>0.08</v>
      </c>
      <c r="Q905" s="2">
        <v>142.56</v>
      </c>
      <c r="R905">
        <v>1</v>
      </c>
      <c r="S905" t="str">
        <f t="shared" si="14"/>
        <v>Abril</v>
      </c>
    </row>
    <row r="906" spans="1:19" hidden="1" x14ac:dyDescent="0.3">
      <c r="A906">
        <v>905</v>
      </c>
      <c r="B906" s="1">
        <v>44318</v>
      </c>
      <c r="C906">
        <v>20</v>
      </c>
      <c r="D906" t="s">
        <v>32</v>
      </c>
      <c r="E906" t="s">
        <v>99</v>
      </c>
      <c r="F906">
        <v>11</v>
      </c>
      <c r="G906" s="2">
        <v>105</v>
      </c>
      <c r="H906" s="2">
        <v>1155</v>
      </c>
      <c r="I906" s="1">
        <v>0.04</v>
      </c>
      <c r="J906" s="2">
        <v>1108.8</v>
      </c>
      <c r="K906" s="1">
        <v>44338</v>
      </c>
      <c r="M906">
        <v>905</v>
      </c>
      <c r="N906">
        <v>6</v>
      </c>
      <c r="O906" t="s">
        <v>20</v>
      </c>
      <c r="P906" s="3">
        <v>0.1</v>
      </c>
      <c r="Q906" s="2">
        <v>110.88</v>
      </c>
      <c r="R906">
        <v>2</v>
      </c>
      <c r="S906" t="str">
        <f t="shared" si="14"/>
        <v>Maio</v>
      </c>
    </row>
    <row r="907" spans="1:19" hidden="1" x14ac:dyDescent="0.3">
      <c r="A907">
        <v>906</v>
      </c>
      <c r="B907" s="1">
        <v>44318</v>
      </c>
      <c r="C907">
        <v>83</v>
      </c>
      <c r="D907" t="s">
        <v>87</v>
      </c>
      <c r="E907" t="s">
        <v>103</v>
      </c>
      <c r="F907">
        <v>29</v>
      </c>
      <c r="G907" s="2">
        <v>109</v>
      </c>
      <c r="H907" s="2">
        <v>3161</v>
      </c>
      <c r="I907" s="1">
        <v>0.11</v>
      </c>
      <c r="J907" s="2">
        <v>2813.29</v>
      </c>
      <c r="K907" s="1">
        <v>44341</v>
      </c>
      <c r="L907" s="1">
        <v>44341</v>
      </c>
      <c r="M907">
        <v>906</v>
      </c>
      <c r="N907">
        <v>7</v>
      </c>
      <c r="O907" t="s">
        <v>56</v>
      </c>
      <c r="P907" s="3">
        <v>0.06</v>
      </c>
      <c r="Q907" s="2">
        <v>168.79739999999998</v>
      </c>
      <c r="R907">
        <v>3</v>
      </c>
      <c r="S907" t="str">
        <f t="shared" si="14"/>
        <v>Maio</v>
      </c>
    </row>
    <row r="908" spans="1:19" hidden="1" x14ac:dyDescent="0.3">
      <c r="A908">
        <v>907</v>
      </c>
      <c r="B908" s="1">
        <v>44319</v>
      </c>
      <c r="C908">
        <v>17</v>
      </c>
      <c r="D908" t="s">
        <v>54</v>
      </c>
      <c r="E908" t="s">
        <v>97</v>
      </c>
      <c r="F908">
        <v>15</v>
      </c>
      <c r="G908" s="2">
        <v>110</v>
      </c>
      <c r="H908" s="2">
        <v>1650</v>
      </c>
      <c r="I908" s="1">
        <v>0.13</v>
      </c>
      <c r="J908" s="2">
        <v>1435.5</v>
      </c>
      <c r="K908" s="1">
        <v>44340</v>
      </c>
      <c r="L908" s="1">
        <v>44340</v>
      </c>
      <c r="M908">
        <v>907</v>
      </c>
      <c r="N908">
        <v>4</v>
      </c>
      <c r="O908" t="s">
        <v>23</v>
      </c>
      <c r="P908" s="3">
        <v>0.06</v>
      </c>
      <c r="Q908" s="2">
        <v>86.13</v>
      </c>
      <c r="R908">
        <v>4</v>
      </c>
      <c r="S908" t="str">
        <f t="shared" si="14"/>
        <v>Maio</v>
      </c>
    </row>
    <row r="909" spans="1:19" hidden="1" x14ac:dyDescent="0.3">
      <c r="A909">
        <v>908</v>
      </c>
      <c r="B909" s="1">
        <v>44319</v>
      </c>
      <c r="C909">
        <v>95</v>
      </c>
      <c r="D909" t="s">
        <v>31</v>
      </c>
      <c r="E909" t="s">
        <v>97</v>
      </c>
      <c r="F909">
        <v>12</v>
      </c>
      <c r="G909" s="2">
        <v>103</v>
      </c>
      <c r="H909" s="2">
        <v>1236</v>
      </c>
      <c r="I909" s="1">
        <v>0.1</v>
      </c>
      <c r="J909" s="2">
        <v>1112.4000000000001</v>
      </c>
      <c r="K909" s="1">
        <v>44329</v>
      </c>
      <c r="L909" s="1">
        <v>44329</v>
      </c>
      <c r="M909">
        <v>908</v>
      </c>
      <c r="N909">
        <v>7</v>
      </c>
      <c r="O909" t="s">
        <v>38</v>
      </c>
      <c r="P909" s="3">
        <v>0.09</v>
      </c>
      <c r="Q909" s="2">
        <v>100.116</v>
      </c>
      <c r="R909">
        <v>5</v>
      </c>
      <c r="S909" t="str">
        <f t="shared" si="14"/>
        <v>Maio</v>
      </c>
    </row>
    <row r="910" spans="1:19" hidden="1" x14ac:dyDescent="0.3">
      <c r="A910">
        <v>909</v>
      </c>
      <c r="B910" s="1">
        <v>44319</v>
      </c>
      <c r="C910">
        <v>64</v>
      </c>
      <c r="D910" t="s">
        <v>65</v>
      </c>
      <c r="E910" t="s">
        <v>104</v>
      </c>
      <c r="F910">
        <v>40</v>
      </c>
      <c r="G910" s="2">
        <v>92</v>
      </c>
      <c r="H910" s="2">
        <v>3680</v>
      </c>
      <c r="I910" s="1">
        <v>0.1</v>
      </c>
      <c r="J910" s="2">
        <v>3312</v>
      </c>
      <c r="K910" s="1">
        <v>44339</v>
      </c>
      <c r="L910" s="1">
        <v>44339</v>
      </c>
      <c r="M910">
        <v>909</v>
      </c>
      <c r="N910">
        <v>2</v>
      </c>
      <c r="O910" t="s">
        <v>38</v>
      </c>
      <c r="P910" s="3">
        <v>7.0000000000000007E-2</v>
      </c>
      <c r="Q910" s="2">
        <v>231.84000000000003</v>
      </c>
      <c r="R910">
        <v>6</v>
      </c>
      <c r="S910" t="str">
        <f t="shared" si="14"/>
        <v>Maio</v>
      </c>
    </row>
    <row r="911" spans="1:19" hidden="1" x14ac:dyDescent="0.3">
      <c r="A911">
        <v>910</v>
      </c>
      <c r="B911" s="1">
        <v>44321</v>
      </c>
      <c r="C911">
        <v>12</v>
      </c>
      <c r="D911" t="s">
        <v>37</v>
      </c>
      <c r="E911" t="s">
        <v>99</v>
      </c>
      <c r="F911">
        <v>23</v>
      </c>
      <c r="G911" s="2">
        <v>104</v>
      </c>
      <c r="H911" s="2">
        <v>2392</v>
      </c>
      <c r="I911" s="1">
        <v>0.14000000000000001</v>
      </c>
      <c r="J911" s="2">
        <v>2057.12</v>
      </c>
      <c r="K911" s="1">
        <v>44332</v>
      </c>
      <c r="L911" s="1">
        <v>44332</v>
      </c>
      <c r="M911">
        <v>910</v>
      </c>
      <c r="N911">
        <v>6</v>
      </c>
      <c r="O911" t="s">
        <v>56</v>
      </c>
      <c r="P911" s="3">
        <v>0.05</v>
      </c>
      <c r="Q911" s="2">
        <v>102.85599999999999</v>
      </c>
      <c r="R911">
        <v>7</v>
      </c>
      <c r="S911" t="str">
        <f t="shared" si="14"/>
        <v>Maio</v>
      </c>
    </row>
    <row r="912" spans="1:19" x14ac:dyDescent="0.3">
      <c r="A912">
        <v>911</v>
      </c>
      <c r="B912" s="1">
        <v>44321</v>
      </c>
      <c r="C912">
        <v>67</v>
      </c>
      <c r="D912" t="s">
        <v>93</v>
      </c>
      <c r="E912" t="s">
        <v>102</v>
      </c>
      <c r="F912">
        <v>12</v>
      </c>
      <c r="G912" s="2">
        <v>92</v>
      </c>
      <c r="H912" s="2">
        <v>1104</v>
      </c>
      <c r="I912" s="1">
        <v>0.05</v>
      </c>
      <c r="J912" s="2">
        <v>1048.8</v>
      </c>
      <c r="K912" s="1">
        <v>44346</v>
      </c>
      <c r="L912" s="1">
        <v>44346</v>
      </c>
      <c r="M912">
        <v>911</v>
      </c>
      <c r="N912">
        <v>1</v>
      </c>
      <c r="O912" t="s">
        <v>35</v>
      </c>
      <c r="P912" s="3">
        <v>0.09</v>
      </c>
      <c r="Q912" s="2">
        <v>94.391999999999996</v>
      </c>
      <c r="R912">
        <v>1</v>
      </c>
      <c r="S912" t="str">
        <f t="shared" si="14"/>
        <v>Maio</v>
      </c>
    </row>
    <row r="913" spans="1:19" x14ac:dyDescent="0.3">
      <c r="A913">
        <v>912</v>
      </c>
      <c r="B913" s="1">
        <v>44322</v>
      </c>
      <c r="C913">
        <v>50</v>
      </c>
      <c r="D913" t="s">
        <v>68</v>
      </c>
      <c r="E913" t="s">
        <v>101</v>
      </c>
      <c r="F913">
        <v>11</v>
      </c>
      <c r="G913" s="2">
        <v>119</v>
      </c>
      <c r="H913" s="2">
        <v>1309</v>
      </c>
      <c r="I913" s="1">
        <v>0.14000000000000001</v>
      </c>
      <c r="J913" s="2">
        <v>1125.74</v>
      </c>
      <c r="K913" s="1">
        <v>44323</v>
      </c>
      <c r="L913" s="1">
        <v>44323</v>
      </c>
      <c r="M913">
        <v>912</v>
      </c>
      <c r="N913">
        <v>4</v>
      </c>
      <c r="O913" t="s">
        <v>35</v>
      </c>
      <c r="P913" s="3">
        <v>0.1</v>
      </c>
      <c r="Q913" s="2">
        <v>112.57400000000001</v>
      </c>
      <c r="R913">
        <v>2</v>
      </c>
      <c r="S913" t="str">
        <f t="shared" si="14"/>
        <v>Maio</v>
      </c>
    </row>
    <row r="914" spans="1:19" hidden="1" x14ac:dyDescent="0.3">
      <c r="A914">
        <v>913</v>
      </c>
      <c r="B914" s="1">
        <v>44322</v>
      </c>
      <c r="C914">
        <v>86</v>
      </c>
      <c r="D914" t="s">
        <v>77</v>
      </c>
      <c r="E914" t="s">
        <v>98</v>
      </c>
      <c r="F914">
        <v>18</v>
      </c>
      <c r="G914" s="2">
        <v>102</v>
      </c>
      <c r="H914" s="2">
        <v>1836</v>
      </c>
      <c r="I914" s="1">
        <v>0.06</v>
      </c>
      <c r="J914" s="2">
        <v>1725.84</v>
      </c>
      <c r="K914" s="1">
        <v>44322</v>
      </c>
      <c r="L914" s="1">
        <v>44322</v>
      </c>
      <c r="M914">
        <v>913</v>
      </c>
      <c r="N914">
        <v>1</v>
      </c>
      <c r="O914" t="s">
        <v>20</v>
      </c>
      <c r="P914" s="3">
        <v>0.1</v>
      </c>
      <c r="Q914" s="2">
        <v>172.584</v>
      </c>
      <c r="R914">
        <v>3</v>
      </c>
      <c r="S914" t="str">
        <f t="shared" si="14"/>
        <v>Maio</v>
      </c>
    </row>
    <row r="915" spans="1:19" hidden="1" x14ac:dyDescent="0.3">
      <c r="A915">
        <v>914</v>
      </c>
      <c r="B915" s="1">
        <v>44323</v>
      </c>
      <c r="C915">
        <v>86</v>
      </c>
      <c r="D915" t="s">
        <v>77</v>
      </c>
      <c r="E915" t="s">
        <v>96</v>
      </c>
      <c r="F915">
        <v>40</v>
      </c>
      <c r="G915" s="2">
        <v>107</v>
      </c>
      <c r="H915" s="2">
        <v>4280</v>
      </c>
      <c r="I915" s="1">
        <v>0.12</v>
      </c>
      <c r="J915" s="2">
        <v>3766.4</v>
      </c>
      <c r="K915" s="1">
        <v>44342</v>
      </c>
      <c r="L915" s="1">
        <v>44342</v>
      </c>
      <c r="M915">
        <v>914</v>
      </c>
      <c r="N915">
        <v>3</v>
      </c>
      <c r="O915" t="s">
        <v>38</v>
      </c>
      <c r="P915" s="3">
        <v>0.06</v>
      </c>
      <c r="Q915" s="2">
        <v>225.98400000000001</v>
      </c>
      <c r="R915">
        <v>4</v>
      </c>
      <c r="S915" t="str">
        <f t="shared" si="14"/>
        <v>Maio</v>
      </c>
    </row>
    <row r="916" spans="1:19" hidden="1" x14ac:dyDescent="0.3">
      <c r="A916">
        <v>915</v>
      </c>
      <c r="B916" s="1">
        <v>44323</v>
      </c>
      <c r="C916">
        <v>42</v>
      </c>
      <c r="D916" t="s">
        <v>79</v>
      </c>
      <c r="E916" t="s">
        <v>95</v>
      </c>
      <c r="F916">
        <v>20</v>
      </c>
      <c r="G916" s="2">
        <v>115</v>
      </c>
      <c r="H916" s="2">
        <v>2300</v>
      </c>
      <c r="I916" s="1">
        <v>0.05</v>
      </c>
      <c r="J916" s="2">
        <v>2185</v>
      </c>
      <c r="K916" s="1">
        <v>44342</v>
      </c>
      <c r="L916" s="1">
        <v>44342</v>
      </c>
      <c r="M916">
        <v>915</v>
      </c>
      <c r="N916">
        <v>5</v>
      </c>
      <c r="O916" t="s">
        <v>30</v>
      </c>
      <c r="P916" s="3">
        <v>0.05</v>
      </c>
      <c r="Q916" s="2">
        <v>109.25</v>
      </c>
      <c r="R916">
        <v>5</v>
      </c>
      <c r="S916" t="str">
        <f t="shared" si="14"/>
        <v>Maio</v>
      </c>
    </row>
    <row r="917" spans="1:19" hidden="1" x14ac:dyDescent="0.3">
      <c r="A917">
        <v>916</v>
      </c>
      <c r="B917" s="1">
        <v>44324</v>
      </c>
      <c r="C917">
        <v>58</v>
      </c>
      <c r="D917" t="s">
        <v>59</v>
      </c>
      <c r="E917" t="s">
        <v>95</v>
      </c>
      <c r="F917">
        <v>16</v>
      </c>
      <c r="G917" s="2">
        <v>116</v>
      </c>
      <c r="H917" s="2">
        <v>1856</v>
      </c>
      <c r="I917" s="1">
        <v>0.14000000000000001</v>
      </c>
      <c r="J917" s="2">
        <v>1596.1599999999999</v>
      </c>
      <c r="K917" s="1">
        <v>44354</v>
      </c>
      <c r="L917" s="1">
        <v>44354</v>
      </c>
      <c r="M917">
        <v>916</v>
      </c>
      <c r="N917">
        <v>3</v>
      </c>
      <c r="O917" t="s">
        <v>20</v>
      </c>
      <c r="P917" s="3">
        <v>0.1</v>
      </c>
      <c r="Q917" s="2">
        <v>159.61599999999999</v>
      </c>
      <c r="R917">
        <v>6</v>
      </c>
      <c r="S917" t="str">
        <f t="shared" si="14"/>
        <v>Maio</v>
      </c>
    </row>
    <row r="918" spans="1:19" hidden="1" x14ac:dyDescent="0.3">
      <c r="A918">
        <v>917</v>
      </c>
      <c r="B918" s="1">
        <v>44324</v>
      </c>
      <c r="C918">
        <v>30</v>
      </c>
      <c r="D918" t="s">
        <v>83</v>
      </c>
      <c r="E918" t="s">
        <v>99</v>
      </c>
      <c r="F918">
        <v>36</v>
      </c>
      <c r="G918" s="2">
        <v>119</v>
      </c>
      <c r="H918" s="2">
        <v>4284</v>
      </c>
      <c r="I918" s="1">
        <v>0.04</v>
      </c>
      <c r="J918" s="2">
        <v>4112.6400000000003</v>
      </c>
      <c r="K918" s="1">
        <v>44326</v>
      </c>
      <c r="L918" s="1">
        <v>44326</v>
      </c>
      <c r="M918">
        <v>917</v>
      </c>
      <c r="N918">
        <v>2</v>
      </c>
      <c r="O918" t="s">
        <v>27</v>
      </c>
      <c r="P918" s="3">
        <v>0.09</v>
      </c>
      <c r="Q918" s="2">
        <v>370.13760000000002</v>
      </c>
      <c r="R918">
        <v>7</v>
      </c>
      <c r="S918" t="str">
        <f t="shared" si="14"/>
        <v>Maio</v>
      </c>
    </row>
    <row r="919" spans="1:19" hidden="1" x14ac:dyDescent="0.3">
      <c r="A919">
        <v>918</v>
      </c>
      <c r="B919" s="1">
        <v>44326</v>
      </c>
      <c r="C919">
        <v>99</v>
      </c>
      <c r="D919" t="s">
        <v>71</v>
      </c>
      <c r="E919" t="s">
        <v>95</v>
      </c>
      <c r="F919">
        <v>37</v>
      </c>
      <c r="G919" s="2">
        <v>119</v>
      </c>
      <c r="H919" s="2">
        <v>4403</v>
      </c>
      <c r="I919" s="1">
        <v>0.08</v>
      </c>
      <c r="J919" s="2">
        <v>4050.76</v>
      </c>
      <c r="K919" s="1">
        <v>44347</v>
      </c>
      <c r="L919" s="1">
        <v>44347</v>
      </c>
      <c r="M919">
        <v>918</v>
      </c>
      <c r="N919">
        <v>3</v>
      </c>
      <c r="O919" t="s">
        <v>23</v>
      </c>
      <c r="P919" s="3">
        <v>0.05</v>
      </c>
      <c r="Q919" s="2">
        <v>202.53800000000001</v>
      </c>
      <c r="R919">
        <v>1</v>
      </c>
      <c r="S919" t="str">
        <f t="shared" si="14"/>
        <v>Maio</v>
      </c>
    </row>
    <row r="920" spans="1:19" hidden="1" x14ac:dyDescent="0.3">
      <c r="A920">
        <v>919</v>
      </c>
      <c r="B920" s="1">
        <v>44327</v>
      </c>
      <c r="C920">
        <v>1</v>
      </c>
      <c r="D920" t="s">
        <v>80</v>
      </c>
      <c r="E920" t="s">
        <v>101</v>
      </c>
      <c r="F920">
        <v>43</v>
      </c>
      <c r="G920" s="2">
        <v>91</v>
      </c>
      <c r="H920" s="2">
        <v>3913</v>
      </c>
      <c r="I920" s="1">
        <v>0.06</v>
      </c>
      <c r="J920" s="2">
        <v>3678.22</v>
      </c>
      <c r="K920" s="1">
        <v>44355</v>
      </c>
      <c r="L920" s="1">
        <v>44355</v>
      </c>
      <c r="M920">
        <v>919</v>
      </c>
      <c r="N920">
        <v>3</v>
      </c>
      <c r="O920" t="s">
        <v>27</v>
      </c>
      <c r="P920" s="3">
        <v>7.0000000000000007E-2</v>
      </c>
      <c r="Q920" s="2">
        <v>257.47540000000004</v>
      </c>
      <c r="R920">
        <v>2</v>
      </c>
      <c r="S920" t="str">
        <f t="shared" si="14"/>
        <v>Maio</v>
      </c>
    </row>
    <row r="921" spans="1:19" hidden="1" x14ac:dyDescent="0.3">
      <c r="A921">
        <v>920</v>
      </c>
      <c r="B921" s="1">
        <v>44327</v>
      </c>
      <c r="C921">
        <v>29</v>
      </c>
      <c r="D921" t="s">
        <v>85</v>
      </c>
      <c r="E921" t="s">
        <v>98</v>
      </c>
      <c r="F921">
        <v>21</v>
      </c>
      <c r="G921" s="2">
        <v>115</v>
      </c>
      <c r="H921" s="2">
        <v>2415</v>
      </c>
      <c r="I921" s="1">
        <v>0.02</v>
      </c>
      <c r="J921" s="2">
        <v>2366.6999999999998</v>
      </c>
      <c r="K921" s="1">
        <v>44337</v>
      </c>
      <c r="L921" s="1">
        <v>44337</v>
      </c>
      <c r="M921">
        <v>920</v>
      </c>
      <c r="N921">
        <v>2</v>
      </c>
      <c r="O921" t="s">
        <v>27</v>
      </c>
      <c r="P921" s="3">
        <v>0.05</v>
      </c>
      <c r="Q921" s="2">
        <v>118.33499999999999</v>
      </c>
      <c r="R921">
        <v>3</v>
      </c>
      <c r="S921" t="str">
        <f t="shared" si="14"/>
        <v>Maio</v>
      </c>
    </row>
    <row r="922" spans="1:19" x14ac:dyDescent="0.3">
      <c r="A922">
        <v>921</v>
      </c>
      <c r="B922" s="1">
        <v>44327</v>
      </c>
      <c r="C922">
        <v>79</v>
      </c>
      <c r="D922" t="s">
        <v>26</v>
      </c>
      <c r="E922" t="s">
        <v>95</v>
      </c>
      <c r="F922">
        <v>48</v>
      </c>
      <c r="G922" s="2">
        <v>106</v>
      </c>
      <c r="H922" s="2">
        <v>5088</v>
      </c>
      <c r="I922" s="1">
        <v>0.11</v>
      </c>
      <c r="J922" s="2">
        <v>4528.32</v>
      </c>
      <c r="K922" s="1">
        <v>44356</v>
      </c>
      <c r="L922" s="1">
        <v>44356</v>
      </c>
      <c r="M922">
        <v>921</v>
      </c>
      <c r="N922">
        <v>3</v>
      </c>
      <c r="O922" t="s">
        <v>35</v>
      </c>
      <c r="P922" s="3">
        <v>0.09</v>
      </c>
      <c r="Q922" s="2">
        <v>407.54879999999997</v>
      </c>
      <c r="R922">
        <v>4</v>
      </c>
      <c r="S922" t="str">
        <f t="shared" si="14"/>
        <v>Maio</v>
      </c>
    </row>
    <row r="923" spans="1:19" hidden="1" x14ac:dyDescent="0.3">
      <c r="A923">
        <v>922</v>
      </c>
      <c r="B923" s="1">
        <v>44327</v>
      </c>
      <c r="C923">
        <v>44</v>
      </c>
      <c r="D923" t="s">
        <v>58</v>
      </c>
      <c r="E923" t="s">
        <v>97</v>
      </c>
      <c r="F923">
        <v>25</v>
      </c>
      <c r="G923" s="2">
        <v>117</v>
      </c>
      <c r="H923" s="2">
        <v>2925</v>
      </c>
      <c r="I923" s="1">
        <v>7.0000000000000007E-2</v>
      </c>
      <c r="J923" s="2">
        <v>2720.25</v>
      </c>
      <c r="K923" s="1">
        <v>44340</v>
      </c>
      <c r="L923" s="1">
        <v>44340</v>
      </c>
      <c r="M923">
        <v>922</v>
      </c>
      <c r="N923">
        <v>5</v>
      </c>
      <c r="O923" t="s">
        <v>30</v>
      </c>
      <c r="P923" s="3">
        <v>7.0000000000000007E-2</v>
      </c>
      <c r="Q923" s="2">
        <v>190.41750000000002</v>
      </c>
      <c r="R923">
        <v>5</v>
      </c>
      <c r="S923" t="str">
        <f t="shared" si="14"/>
        <v>Maio</v>
      </c>
    </row>
    <row r="924" spans="1:19" hidden="1" x14ac:dyDescent="0.3">
      <c r="A924">
        <v>923</v>
      </c>
      <c r="B924" s="1">
        <v>44328</v>
      </c>
      <c r="C924">
        <v>27</v>
      </c>
      <c r="D924" t="s">
        <v>88</v>
      </c>
      <c r="E924" t="s">
        <v>103</v>
      </c>
      <c r="F924">
        <v>45</v>
      </c>
      <c r="G924" s="2">
        <v>100</v>
      </c>
      <c r="H924" s="2">
        <v>4500</v>
      </c>
      <c r="I924" s="1">
        <v>0.08</v>
      </c>
      <c r="J924" s="2">
        <v>4140</v>
      </c>
      <c r="K924" s="1">
        <v>44346</v>
      </c>
      <c r="L924" s="1">
        <v>44346</v>
      </c>
      <c r="M924">
        <v>923</v>
      </c>
      <c r="N924">
        <v>1</v>
      </c>
      <c r="O924" t="s">
        <v>56</v>
      </c>
      <c r="P924" s="3">
        <v>0.06</v>
      </c>
      <c r="Q924" s="2">
        <v>248.39999999999998</v>
      </c>
      <c r="R924">
        <v>6</v>
      </c>
      <c r="S924" t="str">
        <f t="shared" si="14"/>
        <v>Maio</v>
      </c>
    </row>
    <row r="925" spans="1:19" hidden="1" x14ac:dyDescent="0.3">
      <c r="A925">
        <v>924</v>
      </c>
      <c r="B925" s="1">
        <v>44328</v>
      </c>
      <c r="C925">
        <v>9</v>
      </c>
      <c r="D925" t="s">
        <v>29</v>
      </c>
      <c r="E925" t="s">
        <v>98</v>
      </c>
      <c r="F925">
        <v>24</v>
      </c>
      <c r="G925" s="2">
        <v>106</v>
      </c>
      <c r="H925" s="2">
        <v>2544</v>
      </c>
      <c r="I925" s="1">
        <v>0.01</v>
      </c>
      <c r="J925" s="2">
        <v>2518.56</v>
      </c>
      <c r="K925" s="1">
        <v>44354</v>
      </c>
      <c r="L925" s="1">
        <v>44354</v>
      </c>
      <c r="M925">
        <v>924</v>
      </c>
      <c r="N925">
        <v>6</v>
      </c>
      <c r="O925" t="s">
        <v>56</v>
      </c>
      <c r="P925" s="3">
        <v>0.09</v>
      </c>
      <c r="Q925" s="2">
        <v>226.6704</v>
      </c>
      <c r="R925">
        <v>7</v>
      </c>
      <c r="S925" t="str">
        <f t="shared" si="14"/>
        <v>Maio</v>
      </c>
    </row>
    <row r="926" spans="1:19" hidden="1" x14ac:dyDescent="0.3">
      <c r="A926">
        <v>925</v>
      </c>
      <c r="B926" s="1">
        <v>44329</v>
      </c>
      <c r="C926">
        <v>32</v>
      </c>
      <c r="D926" t="s">
        <v>64</v>
      </c>
      <c r="E926" t="s">
        <v>98</v>
      </c>
      <c r="F926">
        <v>48</v>
      </c>
      <c r="G926" s="2">
        <v>113</v>
      </c>
      <c r="H926" s="2">
        <v>5424</v>
      </c>
      <c r="I926" s="1">
        <v>0.01</v>
      </c>
      <c r="J926" s="2">
        <v>5369.76</v>
      </c>
      <c r="K926" s="1">
        <v>44357</v>
      </c>
      <c r="L926" s="1">
        <v>44357</v>
      </c>
      <c r="M926">
        <v>925</v>
      </c>
      <c r="N926">
        <v>6</v>
      </c>
      <c r="O926" t="s">
        <v>20</v>
      </c>
      <c r="P926" s="3">
        <v>0.09</v>
      </c>
      <c r="Q926" s="2">
        <v>483.27839999999998</v>
      </c>
      <c r="R926">
        <v>1</v>
      </c>
      <c r="S926" t="str">
        <f t="shared" si="14"/>
        <v>Maio</v>
      </c>
    </row>
    <row r="927" spans="1:19" hidden="1" x14ac:dyDescent="0.3">
      <c r="A927">
        <v>926</v>
      </c>
      <c r="B927" s="1">
        <v>44330</v>
      </c>
      <c r="C927">
        <v>97</v>
      </c>
      <c r="D927" t="s">
        <v>53</v>
      </c>
      <c r="E927" t="s">
        <v>103</v>
      </c>
      <c r="F927">
        <v>30</v>
      </c>
      <c r="G927" s="2">
        <v>99</v>
      </c>
      <c r="H927" s="2">
        <v>2970</v>
      </c>
      <c r="I927" s="1">
        <v>0</v>
      </c>
      <c r="J927" s="2">
        <v>2970</v>
      </c>
      <c r="K927" s="1">
        <v>44336</v>
      </c>
      <c r="L927" s="1">
        <v>44336</v>
      </c>
      <c r="M927">
        <v>926</v>
      </c>
      <c r="N927">
        <v>4</v>
      </c>
      <c r="O927" t="s">
        <v>18</v>
      </c>
      <c r="P927" s="3">
        <v>0.1</v>
      </c>
      <c r="Q927" s="2">
        <v>297</v>
      </c>
      <c r="R927">
        <v>2</v>
      </c>
      <c r="S927" t="str">
        <f t="shared" si="14"/>
        <v>Maio</v>
      </c>
    </row>
    <row r="928" spans="1:19" hidden="1" x14ac:dyDescent="0.3">
      <c r="A928">
        <v>927</v>
      </c>
      <c r="B928" s="1">
        <v>44331</v>
      </c>
      <c r="C928">
        <v>42</v>
      </c>
      <c r="D928" t="s">
        <v>79</v>
      </c>
      <c r="E928" t="s">
        <v>98</v>
      </c>
      <c r="F928">
        <v>48</v>
      </c>
      <c r="G928" s="2">
        <v>108</v>
      </c>
      <c r="H928" s="2">
        <v>5184</v>
      </c>
      <c r="I928" s="1">
        <v>0.09</v>
      </c>
      <c r="J928" s="2">
        <v>4717.4399999999996</v>
      </c>
      <c r="K928" s="1">
        <v>44359</v>
      </c>
      <c r="L928" s="1">
        <v>44359</v>
      </c>
      <c r="M928">
        <v>927</v>
      </c>
      <c r="N928">
        <v>5</v>
      </c>
      <c r="O928" t="s">
        <v>56</v>
      </c>
      <c r="P928" s="3">
        <v>7.0000000000000007E-2</v>
      </c>
      <c r="Q928" s="2">
        <v>330.2208</v>
      </c>
      <c r="R928">
        <v>3</v>
      </c>
      <c r="S928" t="str">
        <f t="shared" si="14"/>
        <v>Maio</v>
      </c>
    </row>
    <row r="929" spans="1:19" hidden="1" x14ac:dyDescent="0.3">
      <c r="A929">
        <v>928</v>
      </c>
      <c r="B929" s="1">
        <v>44331</v>
      </c>
      <c r="C929">
        <v>44</v>
      </c>
      <c r="D929" t="s">
        <v>58</v>
      </c>
      <c r="E929" t="s">
        <v>95</v>
      </c>
      <c r="F929">
        <v>19</v>
      </c>
      <c r="G929" s="2">
        <v>91</v>
      </c>
      <c r="H929" s="2">
        <v>1729</v>
      </c>
      <c r="I929" s="1">
        <v>0.04</v>
      </c>
      <c r="J929" s="2">
        <v>1659.84</v>
      </c>
      <c r="K929" s="1">
        <v>44352</v>
      </c>
      <c r="L929" s="1">
        <v>44352</v>
      </c>
      <c r="M929">
        <v>928</v>
      </c>
      <c r="N929">
        <v>4</v>
      </c>
      <c r="O929" t="s">
        <v>23</v>
      </c>
      <c r="P929" s="3">
        <v>0.1</v>
      </c>
      <c r="Q929" s="2">
        <v>165.98400000000001</v>
      </c>
      <c r="R929">
        <v>4</v>
      </c>
      <c r="S929" t="str">
        <f t="shared" si="14"/>
        <v>Maio</v>
      </c>
    </row>
    <row r="930" spans="1:19" hidden="1" x14ac:dyDescent="0.3">
      <c r="A930">
        <v>929</v>
      </c>
      <c r="B930" s="1">
        <v>44332</v>
      </c>
      <c r="C930">
        <v>85</v>
      </c>
      <c r="D930" t="s">
        <v>45</v>
      </c>
      <c r="E930" t="s">
        <v>95</v>
      </c>
      <c r="F930">
        <v>18</v>
      </c>
      <c r="G930" s="2">
        <v>94</v>
      </c>
      <c r="H930" s="2">
        <v>1692</v>
      </c>
      <c r="I930" s="1">
        <v>0.01</v>
      </c>
      <c r="J930" s="2">
        <v>1675.08</v>
      </c>
      <c r="K930" s="1">
        <v>44360</v>
      </c>
      <c r="L930" s="1">
        <v>44360</v>
      </c>
      <c r="M930">
        <v>929</v>
      </c>
      <c r="N930">
        <v>7</v>
      </c>
      <c r="O930" t="s">
        <v>30</v>
      </c>
      <c r="P930" s="3">
        <v>0.08</v>
      </c>
      <c r="Q930" s="2">
        <v>134.00639999999999</v>
      </c>
      <c r="R930">
        <v>5</v>
      </c>
      <c r="S930" t="str">
        <f t="shared" si="14"/>
        <v>Maio</v>
      </c>
    </row>
    <row r="931" spans="1:19" hidden="1" x14ac:dyDescent="0.3">
      <c r="A931">
        <v>930</v>
      </c>
      <c r="B931" s="1">
        <v>44332</v>
      </c>
      <c r="C931">
        <v>62</v>
      </c>
      <c r="D931" t="s">
        <v>31</v>
      </c>
      <c r="E931" t="s">
        <v>100</v>
      </c>
      <c r="F931">
        <v>43</v>
      </c>
      <c r="G931" s="2">
        <v>95</v>
      </c>
      <c r="H931" s="2">
        <v>4085</v>
      </c>
      <c r="I931" s="1">
        <v>0.02</v>
      </c>
      <c r="J931" s="2">
        <v>4003.3</v>
      </c>
      <c r="K931" s="1">
        <v>44340</v>
      </c>
      <c r="L931" s="1">
        <v>44340</v>
      </c>
      <c r="M931">
        <v>930</v>
      </c>
      <c r="N931">
        <v>2</v>
      </c>
      <c r="O931" t="s">
        <v>20</v>
      </c>
      <c r="P931" s="3">
        <v>0.06</v>
      </c>
      <c r="Q931" s="2">
        <v>240.19800000000001</v>
      </c>
      <c r="R931">
        <v>6</v>
      </c>
      <c r="S931" t="str">
        <f t="shared" si="14"/>
        <v>Maio</v>
      </c>
    </row>
    <row r="932" spans="1:19" hidden="1" x14ac:dyDescent="0.3">
      <c r="A932">
        <v>931</v>
      </c>
      <c r="B932" s="1">
        <v>44332</v>
      </c>
      <c r="C932">
        <v>75</v>
      </c>
      <c r="D932" t="s">
        <v>31</v>
      </c>
      <c r="E932" t="s">
        <v>95</v>
      </c>
      <c r="F932">
        <v>38</v>
      </c>
      <c r="G932" s="2">
        <v>104</v>
      </c>
      <c r="H932" s="2">
        <v>3952</v>
      </c>
      <c r="I932" s="1">
        <v>0.14000000000000001</v>
      </c>
      <c r="J932" s="2">
        <v>3398.72</v>
      </c>
      <c r="K932" s="1">
        <v>44341</v>
      </c>
      <c r="L932" s="1">
        <v>44341</v>
      </c>
      <c r="M932">
        <v>931</v>
      </c>
      <c r="N932">
        <v>1</v>
      </c>
      <c r="O932" t="s">
        <v>23</v>
      </c>
      <c r="P932" s="3">
        <v>0.06</v>
      </c>
      <c r="Q932" s="2">
        <v>203.92319999999998</v>
      </c>
      <c r="R932">
        <v>7</v>
      </c>
      <c r="S932" t="str">
        <f t="shared" si="14"/>
        <v>Maio</v>
      </c>
    </row>
    <row r="933" spans="1:19" hidden="1" x14ac:dyDescent="0.3">
      <c r="A933">
        <v>932</v>
      </c>
      <c r="B933" s="1">
        <v>44334</v>
      </c>
      <c r="C933">
        <v>47</v>
      </c>
      <c r="D933" t="s">
        <v>33</v>
      </c>
      <c r="E933" t="s">
        <v>98</v>
      </c>
      <c r="F933">
        <v>10</v>
      </c>
      <c r="G933" s="2">
        <v>104</v>
      </c>
      <c r="H933" s="2">
        <v>1040</v>
      </c>
      <c r="I933" s="1">
        <v>0.14000000000000001</v>
      </c>
      <c r="J933" s="2">
        <v>894.4</v>
      </c>
      <c r="K933" s="1">
        <v>44350</v>
      </c>
      <c r="L933" s="1">
        <v>44350</v>
      </c>
      <c r="M933">
        <v>932</v>
      </c>
      <c r="N933">
        <v>2</v>
      </c>
      <c r="O933" t="s">
        <v>27</v>
      </c>
      <c r="P933" s="3">
        <v>0.06</v>
      </c>
      <c r="Q933" s="2">
        <v>53.663999999999994</v>
      </c>
      <c r="R933">
        <v>1</v>
      </c>
      <c r="S933" t="str">
        <f t="shared" si="14"/>
        <v>Maio</v>
      </c>
    </row>
    <row r="934" spans="1:19" hidden="1" x14ac:dyDescent="0.3">
      <c r="A934">
        <v>933</v>
      </c>
      <c r="B934" s="1">
        <v>44335</v>
      </c>
      <c r="C934">
        <v>24</v>
      </c>
      <c r="D934" t="s">
        <v>61</v>
      </c>
      <c r="E934" t="s">
        <v>100</v>
      </c>
      <c r="F934">
        <v>23</v>
      </c>
      <c r="G934" s="2">
        <v>90</v>
      </c>
      <c r="H934" s="2">
        <v>2070</v>
      </c>
      <c r="I934" s="1">
        <v>0.15</v>
      </c>
      <c r="J934" s="2">
        <v>1759.5</v>
      </c>
      <c r="K934" s="1">
        <v>44345</v>
      </c>
      <c r="L934" s="1">
        <v>44345</v>
      </c>
      <c r="M934">
        <v>933</v>
      </c>
      <c r="N934">
        <v>2</v>
      </c>
      <c r="O934" t="s">
        <v>42</v>
      </c>
      <c r="P934" s="3">
        <v>0.08</v>
      </c>
      <c r="Q934" s="2">
        <v>140.76</v>
      </c>
      <c r="R934">
        <v>2</v>
      </c>
      <c r="S934" t="str">
        <f t="shared" si="14"/>
        <v>Maio</v>
      </c>
    </row>
    <row r="935" spans="1:19" hidden="1" x14ac:dyDescent="0.3">
      <c r="A935">
        <v>934</v>
      </c>
      <c r="B935" s="1">
        <v>44335</v>
      </c>
      <c r="C935">
        <v>38</v>
      </c>
      <c r="D935" t="s">
        <v>60</v>
      </c>
      <c r="E935" t="s">
        <v>98</v>
      </c>
      <c r="F935">
        <v>37</v>
      </c>
      <c r="G935" s="2">
        <v>91</v>
      </c>
      <c r="H935" s="2">
        <v>3367</v>
      </c>
      <c r="I935" s="1">
        <v>7.0000000000000007E-2</v>
      </c>
      <c r="J935" s="2">
        <v>3131.31</v>
      </c>
      <c r="K935" s="1">
        <v>44337</v>
      </c>
      <c r="L935" s="1">
        <v>44337</v>
      </c>
      <c r="M935">
        <v>934</v>
      </c>
      <c r="N935">
        <v>7</v>
      </c>
      <c r="O935" t="s">
        <v>56</v>
      </c>
      <c r="P935" s="3">
        <v>7.0000000000000007E-2</v>
      </c>
      <c r="Q935" s="2">
        <v>219.19170000000003</v>
      </c>
      <c r="R935">
        <v>3</v>
      </c>
      <c r="S935" t="str">
        <f t="shared" si="14"/>
        <v>Maio</v>
      </c>
    </row>
    <row r="936" spans="1:19" x14ac:dyDescent="0.3">
      <c r="A936">
        <v>935</v>
      </c>
      <c r="B936" s="1">
        <v>44336</v>
      </c>
      <c r="C936">
        <v>91</v>
      </c>
      <c r="D936" t="s">
        <v>49</v>
      </c>
      <c r="E936" t="s">
        <v>99</v>
      </c>
      <c r="F936">
        <v>15</v>
      </c>
      <c r="G936" s="2">
        <v>91</v>
      </c>
      <c r="H936" s="2">
        <v>1365</v>
      </c>
      <c r="I936" s="1">
        <v>0</v>
      </c>
      <c r="J936" s="2">
        <v>1365</v>
      </c>
      <c r="K936" s="1">
        <v>44346</v>
      </c>
      <c r="L936" s="1">
        <v>44346</v>
      </c>
      <c r="M936">
        <v>935</v>
      </c>
      <c r="N936">
        <v>1</v>
      </c>
      <c r="O936" t="s">
        <v>35</v>
      </c>
      <c r="P936" s="3">
        <v>0.06</v>
      </c>
      <c r="Q936" s="2">
        <v>81.899999999999991</v>
      </c>
      <c r="R936">
        <v>4</v>
      </c>
      <c r="S936" t="str">
        <f t="shared" si="14"/>
        <v>Maio</v>
      </c>
    </row>
    <row r="937" spans="1:19" x14ac:dyDescent="0.3">
      <c r="A937">
        <v>936</v>
      </c>
      <c r="B937" s="1">
        <v>44337</v>
      </c>
      <c r="C937">
        <v>77</v>
      </c>
      <c r="D937" t="s">
        <v>52</v>
      </c>
      <c r="E937" t="s">
        <v>97</v>
      </c>
      <c r="F937">
        <v>19</v>
      </c>
      <c r="G937" s="2">
        <v>119</v>
      </c>
      <c r="H937" s="2">
        <v>2261</v>
      </c>
      <c r="I937" s="1">
        <v>0.14000000000000001</v>
      </c>
      <c r="J937" s="2">
        <v>1944.46</v>
      </c>
      <c r="K937" s="1">
        <v>44350</v>
      </c>
      <c r="L937" s="1">
        <v>44350</v>
      </c>
      <c r="M937">
        <v>936</v>
      </c>
      <c r="N937">
        <v>2</v>
      </c>
      <c r="O937" t="s">
        <v>35</v>
      </c>
      <c r="P937" s="3">
        <v>0.08</v>
      </c>
      <c r="Q937" s="2">
        <v>155.55680000000001</v>
      </c>
      <c r="R937">
        <v>5</v>
      </c>
      <c r="S937" t="str">
        <f t="shared" si="14"/>
        <v>Maio</v>
      </c>
    </row>
    <row r="938" spans="1:19" hidden="1" x14ac:dyDescent="0.3">
      <c r="A938">
        <v>937</v>
      </c>
      <c r="B938" s="1">
        <v>44337</v>
      </c>
      <c r="C938">
        <v>18</v>
      </c>
      <c r="D938" t="s">
        <v>70</v>
      </c>
      <c r="E938" t="s">
        <v>97</v>
      </c>
      <c r="F938">
        <v>23</v>
      </c>
      <c r="G938" s="2">
        <v>102</v>
      </c>
      <c r="H938" s="2">
        <v>2346</v>
      </c>
      <c r="I938" s="1">
        <v>0.08</v>
      </c>
      <c r="J938" s="2">
        <v>2158.3200000000002</v>
      </c>
      <c r="K938" s="1">
        <v>44355</v>
      </c>
      <c r="L938" s="1">
        <v>44355</v>
      </c>
      <c r="M938">
        <v>937</v>
      </c>
      <c r="N938">
        <v>5</v>
      </c>
      <c r="O938" t="s">
        <v>56</v>
      </c>
      <c r="P938" s="3">
        <v>0.1</v>
      </c>
      <c r="Q938" s="2">
        <v>215.83200000000002</v>
      </c>
      <c r="R938">
        <v>6</v>
      </c>
      <c r="S938" t="str">
        <f t="shared" si="14"/>
        <v>Maio</v>
      </c>
    </row>
    <row r="939" spans="1:19" x14ac:dyDescent="0.3">
      <c r="A939">
        <v>938</v>
      </c>
      <c r="B939" s="1">
        <v>44337</v>
      </c>
      <c r="C939">
        <v>81</v>
      </c>
      <c r="D939" t="s">
        <v>90</v>
      </c>
      <c r="E939" t="s">
        <v>95</v>
      </c>
      <c r="F939">
        <v>48</v>
      </c>
      <c r="G939" s="2">
        <v>113</v>
      </c>
      <c r="H939" s="2">
        <v>5424</v>
      </c>
      <c r="I939" s="1">
        <v>7.0000000000000007E-2</v>
      </c>
      <c r="J939" s="2">
        <v>5044.32</v>
      </c>
      <c r="K939" s="1">
        <v>44337</v>
      </c>
      <c r="L939" s="1">
        <v>44337</v>
      </c>
      <c r="M939">
        <v>938</v>
      </c>
      <c r="N939">
        <v>6</v>
      </c>
      <c r="O939" t="s">
        <v>35</v>
      </c>
      <c r="P939" s="3">
        <v>0.06</v>
      </c>
      <c r="Q939" s="2">
        <v>302.6592</v>
      </c>
      <c r="R939">
        <v>7</v>
      </c>
      <c r="S939" t="str">
        <f t="shared" si="14"/>
        <v>Maio</v>
      </c>
    </row>
    <row r="940" spans="1:19" hidden="1" x14ac:dyDescent="0.3">
      <c r="A940">
        <v>939</v>
      </c>
      <c r="B940" s="1">
        <v>44338</v>
      </c>
      <c r="C940">
        <v>27</v>
      </c>
      <c r="D940" t="s">
        <v>88</v>
      </c>
      <c r="E940" t="s">
        <v>96</v>
      </c>
      <c r="F940">
        <v>36</v>
      </c>
      <c r="G940" s="2">
        <v>102</v>
      </c>
      <c r="H940" s="2">
        <v>3672</v>
      </c>
      <c r="I940" s="1">
        <v>0.11</v>
      </c>
      <c r="J940" s="2">
        <v>3268.08</v>
      </c>
      <c r="K940" s="1">
        <v>44351</v>
      </c>
      <c r="L940" s="1">
        <v>44351</v>
      </c>
      <c r="M940">
        <v>939</v>
      </c>
      <c r="N940">
        <v>7</v>
      </c>
      <c r="O940" t="s">
        <v>38</v>
      </c>
      <c r="P940" s="3">
        <v>0.08</v>
      </c>
      <c r="Q940" s="2">
        <v>261.44639999999998</v>
      </c>
      <c r="R940">
        <v>1</v>
      </c>
      <c r="S940" t="str">
        <f t="shared" si="14"/>
        <v>Maio</v>
      </c>
    </row>
    <row r="941" spans="1:19" hidden="1" x14ac:dyDescent="0.3">
      <c r="A941">
        <v>940</v>
      </c>
      <c r="B941" s="1">
        <v>44338</v>
      </c>
      <c r="C941">
        <v>3</v>
      </c>
      <c r="D941" t="s">
        <v>78</v>
      </c>
      <c r="E941" t="s">
        <v>102</v>
      </c>
      <c r="F941">
        <v>49</v>
      </c>
      <c r="G941" s="2">
        <v>111</v>
      </c>
      <c r="H941" s="2">
        <v>5439</v>
      </c>
      <c r="I941" s="1">
        <v>0.09</v>
      </c>
      <c r="J941" s="2">
        <v>4949.49</v>
      </c>
      <c r="K941" s="1">
        <v>44348</v>
      </c>
      <c r="L941" s="1">
        <v>44348</v>
      </c>
      <c r="M941">
        <v>940</v>
      </c>
      <c r="N941">
        <v>5</v>
      </c>
      <c r="O941" t="s">
        <v>18</v>
      </c>
      <c r="P941" s="3">
        <v>0.08</v>
      </c>
      <c r="Q941" s="2">
        <v>395.95920000000001</v>
      </c>
      <c r="R941">
        <v>2</v>
      </c>
      <c r="S941" t="str">
        <f t="shared" si="14"/>
        <v>Maio</v>
      </c>
    </row>
    <row r="942" spans="1:19" hidden="1" x14ac:dyDescent="0.3">
      <c r="A942">
        <v>941</v>
      </c>
      <c r="B942" s="1">
        <v>44338</v>
      </c>
      <c r="C942">
        <v>22</v>
      </c>
      <c r="D942" t="s">
        <v>41</v>
      </c>
      <c r="E942" t="s">
        <v>99</v>
      </c>
      <c r="F942">
        <v>33</v>
      </c>
      <c r="G942" s="2">
        <v>91</v>
      </c>
      <c r="H942" s="2">
        <v>3003</v>
      </c>
      <c r="I942" s="1">
        <v>7.0000000000000007E-2</v>
      </c>
      <c r="J942" s="2">
        <v>2792.79</v>
      </c>
      <c r="K942" s="1">
        <v>44366</v>
      </c>
      <c r="L942" s="1">
        <v>44366</v>
      </c>
      <c r="M942">
        <v>941</v>
      </c>
      <c r="N942">
        <v>3</v>
      </c>
      <c r="O942" t="s">
        <v>27</v>
      </c>
      <c r="P942" s="3">
        <v>0.1</v>
      </c>
      <c r="Q942" s="2">
        <v>279.279</v>
      </c>
      <c r="R942">
        <v>3</v>
      </c>
      <c r="S942" t="str">
        <f t="shared" si="14"/>
        <v>Maio</v>
      </c>
    </row>
    <row r="943" spans="1:19" hidden="1" x14ac:dyDescent="0.3">
      <c r="A943">
        <v>942</v>
      </c>
      <c r="B943" s="1">
        <v>44339</v>
      </c>
      <c r="C943">
        <v>55</v>
      </c>
      <c r="D943" t="s">
        <v>36</v>
      </c>
      <c r="E943" t="s">
        <v>99</v>
      </c>
      <c r="F943">
        <v>11</v>
      </c>
      <c r="G943" s="2">
        <v>111</v>
      </c>
      <c r="H943" s="2">
        <v>1221</v>
      </c>
      <c r="I943" s="1">
        <v>0.1</v>
      </c>
      <c r="J943" s="2">
        <v>1098.9000000000001</v>
      </c>
      <c r="K943" s="1">
        <v>44356</v>
      </c>
      <c r="L943" s="1">
        <v>44356</v>
      </c>
      <c r="M943">
        <v>942</v>
      </c>
      <c r="N943">
        <v>6</v>
      </c>
      <c r="O943" t="s">
        <v>27</v>
      </c>
      <c r="P943" s="3">
        <v>0.05</v>
      </c>
      <c r="Q943" s="2">
        <v>54.945000000000007</v>
      </c>
      <c r="R943">
        <v>4</v>
      </c>
      <c r="S943" t="str">
        <f t="shared" si="14"/>
        <v>Maio</v>
      </c>
    </row>
    <row r="944" spans="1:19" hidden="1" x14ac:dyDescent="0.3">
      <c r="A944">
        <v>943</v>
      </c>
      <c r="B944" s="1">
        <v>44339</v>
      </c>
      <c r="C944">
        <v>59</v>
      </c>
      <c r="D944" t="s">
        <v>84</v>
      </c>
      <c r="E944" t="s">
        <v>103</v>
      </c>
      <c r="F944">
        <v>45</v>
      </c>
      <c r="G944" s="2">
        <v>117</v>
      </c>
      <c r="H944" s="2">
        <v>5265</v>
      </c>
      <c r="I944" s="1">
        <v>0.02</v>
      </c>
      <c r="J944" s="2">
        <v>5159.7</v>
      </c>
      <c r="K944" s="1">
        <v>44343</v>
      </c>
      <c r="L944" s="1">
        <v>44343</v>
      </c>
      <c r="M944">
        <v>943</v>
      </c>
      <c r="N944">
        <v>5</v>
      </c>
      <c r="O944" t="s">
        <v>27</v>
      </c>
      <c r="P944" s="3">
        <v>0.09</v>
      </c>
      <c r="Q944" s="2">
        <v>464.37299999999999</v>
      </c>
      <c r="R944">
        <v>5</v>
      </c>
      <c r="S944" t="str">
        <f t="shared" si="14"/>
        <v>Maio</v>
      </c>
    </row>
    <row r="945" spans="1:19" hidden="1" x14ac:dyDescent="0.3">
      <c r="A945">
        <v>944</v>
      </c>
      <c r="B945" s="1">
        <v>44339</v>
      </c>
      <c r="C945">
        <v>10</v>
      </c>
      <c r="D945" t="s">
        <v>76</v>
      </c>
      <c r="E945" t="s">
        <v>99</v>
      </c>
      <c r="F945">
        <v>35</v>
      </c>
      <c r="G945" s="2">
        <v>117</v>
      </c>
      <c r="H945" s="2">
        <v>4095</v>
      </c>
      <c r="I945" s="1">
        <v>0.09</v>
      </c>
      <c r="J945" s="2">
        <v>3726.45</v>
      </c>
      <c r="K945" s="1">
        <v>44353</v>
      </c>
      <c r="L945" s="1">
        <v>44353</v>
      </c>
      <c r="M945">
        <v>944</v>
      </c>
      <c r="N945">
        <v>4</v>
      </c>
      <c r="O945" t="s">
        <v>56</v>
      </c>
      <c r="P945" s="3">
        <v>0.05</v>
      </c>
      <c r="Q945" s="2">
        <v>186.32249999999999</v>
      </c>
      <c r="R945">
        <v>6</v>
      </c>
      <c r="S945" t="str">
        <f t="shared" si="14"/>
        <v>Maio</v>
      </c>
    </row>
    <row r="946" spans="1:19" hidden="1" x14ac:dyDescent="0.3">
      <c r="A946">
        <v>945</v>
      </c>
      <c r="B946" s="1">
        <v>44339</v>
      </c>
      <c r="C946">
        <v>98</v>
      </c>
      <c r="D946" t="s">
        <v>21</v>
      </c>
      <c r="E946" t="s">
        <v>102</v>
      </c>
      <c r="F946">
        <v>14</v>
      </c>
      <c r="G946" s="2">
        <v>120</v>
      </c>
      <c r="H946" s="2">
        <v>1680</v>
      </c>
      <c r="I946" s="1">
        <v>0.1</v>
      </c>
      <c r="J946" s="2">
        <v>1512</v>
      </c>
      <c r="K946" s="1">
        <v>44352</v>
      </c>
      <c r="L946" s="1">
        <v>44352</v>
      </c>
      <c r="M946">
        <v>945</v>
      </c>
      <c r="N946">
        <v>7</v>
      </c>
      <c r="O946" t="s">
        <v>42</v>
      </c>
      <c r="P946" s="3">
        <v>0.09</v>
      </c>
      <c r="Q946" s="2">
        <v>136.07999999999998</v>
      </c>
      <c r="R946">
        <v>7</v>
      </c>
      <c r="S946" t="str">
        <f t="shared" si="14"/>
        <v>Maio</v>
      </c>
    </row>
    <row r="947" spans="1:19" hidden="1" x14ac:dyDescent="0.3">
      <c r="A947">
        <v>946</v>
      </c>
      <c r="B947" s="1">
        <v>44339</v>
      </c>
      <c r="C947">
        <v>60</v>
      </c>
      <c r="D947" t="s">
        <v>69</v>
      </c>
      <c r="E947" t="s">
        <v>97</v>
      </c>
      <c r="F947">
        <v>26</v>
      </c>
      <c r="G947" s="2">
        <v>112</v>
      </c>
      <c r="H947" s="2">
        <v>2912</v>
      </c>
      <c r="I947" s="1">
        <v>0</v>
      </c>
      <c r="J947" s="2">
        <v>2912</v>
      </c>
      <c r="K947" s="1">
        <v>44349</v>
      </c>
      <c r="L947" s="1">
        <v>44349</v>
      </c>
      <c r="M947">
        <v>946</v>
      </c>
      <c r="N947">
        <v>6</v>
      </c>
      <c r="O947" t="s">
        <v>18</v>
      </c>
      <c r="P947" s="3">
        <v>0.09</v>
      </c>
      <c r="Q947" s="2">
        <v>262.08</v>
      </c>
      <c r="R947">
        <v>1</v>
      </c>
      <c r="S947" t="str">
        <f t="shared" si="14"/>
        <v>Maio</v>
      </c>
    </row>
    <row r="948" spans="1:19" hidden="1" x14ac:dyDescent="0.3">
      <c r="A948">
        <v>947</v>
      </c>
      <c r="B948" s="1">
        <v>44340</v>
      </c>
      <c r="C948">
        <v>48</v>
      </c>
      <c r="D948" t="s">
        <v>48</v>
      </c>
      <c r="E948" t="s">
        <v>102</v>
      </c>
      <c r="F948">
        <v>20</v>
      </c>
      <c r="G948" s="2">
        <v>116</v>
      </c>
      <c r="H948" s="2">
        <v>2320</v>
      </c>
      <c r="I948" s="1">
        <v>0.04</v>
      </c>
      <c r="J948" s="2">
        <v>2227.1999999999998</v>
      </c>
      <c r="K948" s="1">
        <v>44359</v>
      </c>
      <c r="L948" s="1">
        <v>44359</v>
      </c>
      <c r="M948">
        <v>947</v>
      </c>
      <c r="N948">
        <v>1</v>
      </c>
      <c r="O948" t="s">
        <v>18</v>
      </c>
      <c r="P948" s="3">
        <v>0.1</v>
      </c>
      <c r="Q948" s="2">
        <v>222.72</v>
      </c>
      <c r="R948">
        <v>2</v>
      </c>
      <c r="S948" t="str">
        <f t="shared" si="14"/>
        <v>Maio</v>
      </c>
    </row>
    <row r="949" spans="1:19" hidden="1" x14ac:dyDescent="0.3">
      <c r="A949">
        <v>948</v>
      </c>
      <c r="B949" s="1">
        <v>44340</v>
      </c>
      <c r="C949">
        <v>62</v>
      </c>
      <c r="D949" t="s">
        <v>31</v>
      </c>
      <c r="E949" t="s">
        <v>104</v>
      </c>
      <c r="F949">
        <v>37</v>
      </c>
      <c r="G949" s="2">
        <v>102</v>
      </c>
      <c r="H949" s="2">
        <v>3774</v>
      </c>
      <c r="I949" s="1">
        <v>0.13</v>
      </c>
      <c r="J949" s="2">
        <v>3283.38</v>
      </c>
      <c r="K949" s="1">
        <v>44362</v>
      </c>
      <c r="L949" s="1">
        <v>44362</v>
      </c>
      <c r="M949">
        <v>948</v>
      </c>
      <c r="N949">
        <v>3</v>
      </c>
      <c r="O949" t="s">
        <v>27</v>
      </c>
      <c r="P949" s="3">
        <v>0.06</v>
      </c>
      <c r="Q949" s="2">
        <v>197.00280000000001</v>
      </c>
      <c r="R949">
        <v>3</v>
      </c>
      <c r="S949" t="str">
        <f t="shared" si="14"/>
        <v>Maio</v>
      </c>
    </row>
    <row r="950" spans="1:19" hidden="1" x14ac:dyDescent="0.3">
      <c r="A950">
        <v>949</v>
      </c>
      <c r="B950" s="1">
        <v>44341</v>
      </c>
      <c r="C950">
        <v>84</v>
      </c>
      <c r="D950" t="s">
        <v>36</v>
      </c>
      <c r="E950" t="s">
        <v>96</v>
      </c>
      <c r="F950">
        <v>39</v>
      </c>
      <c r="G950" s="2">
        <v>95</v>
      </c>
      <c r="H950" s="2">
        <v>3705</v>
      </c>
      <c r="I950" s="1">
        <v>7.0000000000000007E-2</v>
      </c>
      <c r="J950" s="2">
        <v>3445.65</v>
      </c>
      <c r="K950" s="1">
        <v>44370</v>
      </c>
      <c r="L950" s="1">
        <v>44370</v>
      </c>
      <c r="M950">
        <v>949</v>
      </c>
      <c r="N950">
        <v>2</v>
      </c>
      <c r="O950" t="s">
        <v>30</v>
      </c>
      <c r="P950" s="3">
        <v>0.1</v>
      </c>
      <c r="Q950" s="2">
        <v>344.56500000000005</v>
      </c>
      <c r="R950">
        <v>4</v>
      </c>
      <c r="S950" t="str">
        <f t="shared" si="14"/>
        <v>Maio</v>
      </c>
    </row>
    <row r="951" spans="1:19" hidden="1" x14ac:dyDescent="0.3">
      <c r="A951">
        <v>950</v>
      </c>
      <c r="B951" s="1">
        <v>44341</v>
      </c>
      <c r="C951">
        <v>13</v>
      </c>
      <c r="D951" t="s">
        <v>62</v>
      </c>
      <c r="E951" t="s">
        <v>103</v>
      </c>
      <c r="F951">
        <v>26</v>
      </c>
      <c r="G951" s="2">
        <v>116</v>
      </c>
      <c r="H951" s="2">
        <v>3016</v>
      </c>
      <c r="I951" s="1">
        <v>0.14000000000000001</v>
      </c>
      <c r="J951" s="2">
        <v>2593.7599999999998</v>
      </c>
      <c r="K951" s="1">
        <v>44365</v>
      </c>
      <c r="L951" s="1">
        <v>44365</v>
      </c>
      <c r="M951">
        <v>950</v>
      </c>
      <c r="N951">
        <v>1</v>
      </c>
      <c r="O951" t="s">
        <v>25</v>
      </c>
      <c r="P951" s="3">
        <v>0.09</v>
      </c>
      <c r="Q951" s="2">
        <v>233.43839999999997</v>
      </c>
      <c r="R951">
        <v>5</v>
      </c>
      <c r="S951" t="str">
        <f t="shared" si="14"/>
        <v>Maio</v>
      </c>
    </row>
    <row r="952" spans="1:19" hidden="1" x14ac:dyDescent="0.3">
      <c r="A952">
        <v>951</v>
      </c>
      <c r="B952" s="1">
        <v>44342</v>
      </c>
      <c r="C952">
        <v>42</v>
      </c>
      <c r="D952" t="s">
        <v>79</v>
      </c>
      <c r="E952" t="s">
        <v>95</v>
      </c>
      <c r="F952">
        <v>12</v>
      </c>
      <c r="G952" s="2">
        <v>94</v>
      </c>
      <c r="H952" s="2">
        <v>1128</v>
      </c>
      <c r="I952" s="1">
        <v>0.06</v>
      </c>
      <c r="J952" s="2">
        <v>1060.32</v>
      </c>
      <c r="K952" s="1">
        <v>44370</v>
      </c>
      <c r="L952" s="1">
        <v>44370</v>
      </c>
      <c r="M952">
        <v>951</v>
      </c>
      <c r="N952">
        <v>7</v>
      </c>
      <c r="O952" t="s">
        <v>25</v>
      </c>
      <c r="P952" s="3">
        <v>0.06</v>
      </c>
      <c r="Q952" s="2">
        <v>63.619199999999992</v>
      </c>
      <c r="R952">
        <v>6</v>
      </c>
      <c r="S952" t="str">
        <f t="shared" si="14"/>
        <v>Maio</v>
      </c>
    </row>
    <row r="953" spans="1:19" hidden="1" x14ac:dyDescent="0.3">
      <c r="A953">
        <v>952</v>
      </c>
      <c r="B953" s="1">
        <v>44342</v>
      </c>
      <c r="C953">
        <v>60</v>
      </c>
      <c r="D953" t="s">
        <v>69</v>
      </c>
      <c r="E953" t="s">
        <v>103</v>
      </c>
      <c r="F953">
        <v>42</v>
      </c>
      <c r="G953" s="2">
        <v>99</v>
      </c>
      <c r="H953" s="2">
        <v>4158</v>
      </c>
      <c r="I953" s="1">
        <v>0.01</v>
      </c>
      <c r="J953" s="2">
        <v>4116.42</v>
      </c>
      <c r="K953" s="1">
        <v>44369</v>
      </c>
      <c r="L953" s="1">
        <v>44369</v>
      </c>
      <c r="M953">
        <v>952</v>
      </c>
      <c r="N953">
        <v>1</v>
      </c>
      <c r="O953" t="s">
        <v>18</v>
      </c>
      <c r="P953" s="3">
        <v>7.0000000000000007E-2</v>
      </c>
      <c r="Q953" s="2">
        <v>288.14940000000001</v>
      </c>
      <c r="R953">
        <v>7</v>
      </c>
      <c r="S953" t="str">
        <f t="shared" si="14"/>
        <v>Maio</v>
      </c>
    </row>
    <row r="954" spans="1:19" hidden="1" x14ac:dyDescent="0.3">
      <c r="A954">
        <v>953</v>
      </c>
      <c r="B954" s="1">
        <v>44343</v>
      </c>
      <c r="C954">
        <v>98</v>
      </c>
      <c r="D954" t="s">
        <v>21</v>
      </c>
      <c r="E954" t="s">
        <v>99</v>
      </c>
      <c r="F954">
        <v>42</v>
      </c>
      <c r="G954" s="2">
        <v>98</v>
      </c>
      <c r="H954" s="2">
        <v>4116</v>
      </c>
      <c r="I954" s="1">
        <v>0.02</v>
      </c>
      <c r="J954" s="2">
        <v>4033.68</v>
      </c>
      <c r="K954" s="1">
        <v>44364</v>
      </c>
      <c r="L954" s="1">
        <v>44364</v>
      </c>
      <c r="M954">
        <v>953</v>
      </c>
      <c r="N954">
        <v>4</v>
      </c>
      <c r="O954" t="s">
        <v>27</v>
      </c>
      <c r="P954" s="3">
        <v>0.1</v>
      </c>
      <c r="Q954" s="2">
        <v>403.36799999999999</v>
      </c>
      <c r="R954">
        <v>1</v>
      </c>
      <c r="S954" t="str">
        <f t="shared" si="14"/>
        <v>Maio</v>
      </c>
    </row>
    <row r="955" spans="1:19" hidden="1" x14ac:dyDescent="0.3">
      <c r="A955">
        <v>954</v>
      </c>
      <c r="B955" s="1">
        <v>44343</v>
      </c>
      <c r="C955">
        <v>74</v>
      </c>
      <c r="D955" t="s">
        <v>31</v>
      </c>
      <c r="E955" t="s">
        <v>101</v>
      </c>
      <c r="F955">
        <v>25</v>
      </c>
      <c r="G955" s="2">
        <v>96</v>
      </c>
      <c r="H955" s="2">
        <v>2400</v>
      </c>
      <c r="I955" s="1">
        <v>0.15</v>
      </c>
      <c r="J955" s="2">
        <v>2040</v>
      </c>
      <c r="K955" s="1">
        <v>44366</v>
      </c>
      <c r="L955" s="1">
        <v>44366</v>
      </c>
      <c r="M955">
        <v>954</v>
      </c>
      <c r="N955">
        <v>2</v>
      </c>
      <c r="O955" t="s">
        <v>23</v>
      </c>
      <c r="P955" s="3">
        <v>0.05</v>
      </c>
      <c r="Q955" s="2">
        <v>102</v>
      </c>
      <c r="R955">
        <v>2</v>
      </c>
      <c r="S955" t="str">
        <f t="shared" si="14"/>
        <v>Maio</v>
      </c>
    </row>
    <row r="956" spans="1:19" hidden="1" x14ac:dyDescent="0.3">
      <c r="A956">
        <v>955</v>
      </c>
      <c r="B956" s="1">
        <v>44343</v>
      </c>
      <c r="C956">
        <v>90</v>
      </c>
      <c r="D956" t="s">
        <v>47</v>
      </c>
      <c r="E956" t="s">
        <v>97</v>
      </c>
      <c r="F956">
        <v>50</v>
      </c>
      <c r="G956" s="2">
        <v>109</v>
      </c>
      <c r="H956" s="2">
        <v>5450</v>
      </c>
      <c r="I956" s="1">
        <v>0.04</v>
      </c>
      <c r="J956" s="2">
        <v>5232</v>
      </c>
      <c r="K956" s="1">
        <v>44373</v>
      </c>
      <c r="L956" s="1">
        <v>44373</v>
      </c>
      <c r="M956">
        <v>955</v>
      </c>
      <c r="N956">
        <v>1</v>
      </c>
      <c r="O956" t="s">
        <v>25</v>
      </c>
      <c r="P956" s="3">
        <v>0.08</v>
      </c>
      <c r="Q956" s="2">
        <v>418.56</v>
      </c>
      <c r="R956">
        <v>3</v>
      </c>
      <c r="S956" t="str">
        <f t="shared" si="14"/>
        <v>Maio</v>
      </c>
    </row>
    <row r="957" spans="1:19" hidden="1" x14ac:dyDescent="0.3">
      <c r="A957">
        <v>956</v>
      </c>
      <c r="B957" s="1">
        <v>44343</v>
      </c>
      <c r="C957">
        <v>91</v>
      </c>
      <c r="D957" t="s">
        <v>49</v>
      </c>
      <c r="E957" t="s">
        <v>98</v>
      </c>
      <c r="F957">
        <v>43</v>
      </c>
      <c r="G957" s="2">
        <v>111</v>
      </c>
      <c r="H957" s="2">
        <v>4773</v>
      </c>
      <c r="I957" s="1">
        <v>0.14000000000000001</v>
      </c>
      <c r="J957" s="2">
        <v>4104.78</v>
      </c>
      <c r="K957" s="1">
        <v>44358</v>
      </c>
      <c r="L957" s="1">
        <v>44358</v>
      </c>
      <c r="M957">
        <v>956</v>
      </c>
      <c r="N957">
        <v>2</v>
      </c>
      <c r="O957" t="s">
        <v>42</v>
      </c>
      <c r="P957" s="3">
        <v>0.1</v>
      </c>
      <c r="Q957" s="2">
        <v>410.47800000000001</v>
      </c>
      <c r="R957">
        <v>4</v>
      </c>
      <c r="S957" t="str">
        <f t="shared" si="14"/>
        <v>Maio</v>
      </c>
    </row>
    <row r="958" spans="1:19" x14ac:dyDescent="0.3">
      <c r="A958">
        <v>957</v>
      </c>
      <c r="B958" s="1">
        <v>44343</v>
      </c>
      <c r="C958">
        <v>49</v>
      </c>
      <c r="D958" t="s">
        <v>31</v>
      </c>
      <c r="E958" t="s">
        <v>97</v>
      </c>
      <c r="F958">
        <v>46</v>
      </c>
      <c r="G958" s="2">
        <v>112</v>
      </c>
      <c r="H958" s="2">
        <v>5152</v>
      </c>
      <c r="I958" s="1">
        <v>0.14000000000000001</v>
      </c>
      <c r="J958" s="2">
        <v>4430.72</v>
      </c>
      <c r="K958" s="1">
        <v>44343</v>
      </c>
      <c r="L958" s="1">
        <v>44343</v>
      </c>
      <c r="M958">
        <v>957</v>
      </c>
      <c r="N958">
        <v>1</v>
      </c>
      <c r="O958" t="s">
        <v>35</v>
      </c>
      <c r="P958" s="3">
        <v>0.06</v>
      </c>
      <c r="Q958" s="2">
        <v>265.84320000000002</v>
      </c>
      <c r="R958">
        <v>5</v>
      </c>
      <c r="S958" t="str">
        <f t="shared" si="14"/>
        <v>Maio</v>
      </c>
    </row>
    <row r="959" spans="1:19" hidden="1" x14ac:dyDescent="0.3">
      <c r="A959">
        <v>958</v>
      </c>
      <c r="B959" s="1">
        <v>44343</v>
      </c>
      <c r="C959">
        <v>87</v>
      </c>
      <c r="D959" t="s">
        <v>33</v>
      </c>
      <c r="E959" t="s">
        <v>96</v>
      </c>
      <c r="F959">
        <v>36</v>
      </c>
      <c r="G959" s="2">
        <v>104</v>
      </c>
      <c r="H959" s="2">
        <v>3744</v>
      </c>
      <c r="I959" s="1">
        <v>0.1</v>
      </c>
      <c r="J959" s="2">
        <v>3369.6</v>
      </c>
      <c r="K959" s="1">
        <v>44364</v>
      </c>
      <c r="L959" s="1">
        <v>44364</v>
      </c>
      <c r="M959">
        <v>958</v>
      </c>
      <c r="N959">
        <v>4</v>
      </c>
      <c r="O959" t="s">
        <v>30</v>
      </c>
      <c r="P959" s="3">
        <v>0.08</v>
      </c>
      <c r="Q959" s="2">
        <v>269.56799999999998</v>
      </c>
      <c r="R959">
        <v>6</v>
      </c>
      <c r="S959" t="str">
        <f t="shared" si="14"/>
        <v>Maio</v>
      </c>
    </row>
    <row r="960" spans="1:19" x14ac:dyDescent="0.3">
      <c r="A960">
        <v>959</v>
      </c>
      <c r="B960" s="1">
        <v>44345</v>
      </c>
      <c r="C960">
        <v>23</v>
      </c>
      <c r="D960" t="s">
        <v>92</v>
      </c>
      <c r="E960" t="s">
        <v>97</v>
      </c>
      <c r="F960">
        <v>50</v>
      </c>
      <c r="G960" s="2">
        <v>97</v>
      </c>
      <c r="H960" s="2">
        <v>4850</v>
      </c>
      <c r="I960" s="1">
        <v>0.03</v>
      </c>
      <c r="J960" s="2">
        <v>4704.5</v>
      </c>
      <c r="K960" s="1">
        <v>44351</v>
      </c>
      <c r="L960" s="1">
        <v>44351</v>
      </c>
      <c r="M960">
        <v>959</v>
      </c>
      <c r="N960">
        <v>6</v>
      </c>
      <c r="O960" t="s">
        <v>35</v>
      </c>
      <c r="P960" s="3">
        <v>0.05</v>
      </c>
      <c r="Q960" s="2">
        <v>235.22500000000002</v>
      </c>
      <c r="R960">
        <v>7</v>
      </c>
      <c r="S960" t="str">
        <f t="shared" si="14"/>
        <v>Maio</v>
      </c>
    </row>
    <row r="961" spans="1:19" hidden="1" x14ac:dyDescent="0.3">
      <c r="A961">
        <v>960</v>
      </c>
      <c r="B961" s="1">
        <v>44347</v>
      </c>
      <c r="C961">
        <v>8</v>
      </c>
      <c r="D961" t="s">
        <v>31</v>
      </c>
      <c r="E961" t="s">
        <v>104</v>
      </c>
      <c r="F961">
        <v>23</v>
      </c>
      <c r="G961" s="2">
        <v>111</v>
      </c>
      <c r="H961" s="2">
        <v>2553</v>
      </c>
      <c r="I961" s="1">
        <v>0.1</v>
      </c>
      <c r="J961" s="2">
        <v>2297.6999999999998</v>
      </c>
      <c r="K961" s="1">
        <v>44372</v>
      </c>
      <c r="L961" s="1">
        <v>44372</v>
      </c>
      <c r="M961">
        <v>960</v>
      </c>
      <c r="N961">
        <v>2</v>
      </c>
      <c r="O961" t="s">
        <v>23</v>
      </c>
      <c r="P961" s="3">
        <v>0.06</v>
      </c>
      <c r="Q961" s="2">
        <v>137.86199999999999</v>
      </c>
      <c r="R961">
        <v>1</v>
      </c>
      <c r="S961" t="str">
        <f t="shared" si="14"/>
        <v>Maio</v>
      </c>
    </row>
    <row r="962" spans="1:19" hidden="1" x14ac:dyDescent="0.3">
      <c r="A962">
        <v>961</v>
      </c>
      <c r="B962" s="1">
        <v>44349</v>
      </c>
      <c r="C962">
        <v>26</v>
      </c>
      <c r="D962" t="s">
        <v>82</v>
      </c>
      <c r="E962" t="s">
        <v>103</v>
      </c>
      <c r="F962">
        <v>32</v>
      </c>
      <c r="G962" s="2">
        <v>100</v>
      </c>
      <c r="H962" s="2">
        <v>3200</v>
      </c>
      <c r="I962" s="1">
        <v>0</v>
      </c>
      <c r="J962" s="2">
        <v>3200</v>
      </c>
      <c r="K962" s="1">
        <v>44364</v>
      </c>
      <c r="L962" s="1">
        <v>44364</v>
      </c>
      <c r="M962">
        <v>961</v>
      </c>
      <c r="N962">
        <v>3</v>
      </c>
      <c r="O962" t="s">
        <v>42</v>
      </c>
      <c r="P962" s="3">
        <v>0.06</v>
      </c>
      <c r="Q962" s="2">
        <v>192</v>
      </c>
      <c r="R962">
        <v>2</v>
      </c>
      <c r="S962" t="str">
        <f t="shared" si="14"/>
        <v>Junho</v>
      </c>
    </row>
    <row r="963" spans="1:19" x14ac:dyDescent="0.3">
      <c r="A963">
        <v>962</v>
      </c>
      <c r="B963" s="1">
        <v>44349</v>
      </c>
      <c r="C963">
        <v>41</v>
      </c>
      <c r="D963" t="s">
        <v>55</v>
      </c>
      <c r="E963" t="s">
        <v>102</v>
      </c>
      <c r="F963">
        <v>31</v>
      </c>
      <c r="G963" s="2">
        <v>111</v>
      </c>
      <c r="H963" s="2">
        <v>3441</v>
      </c>
      <c r="I963" s="1">
        <v>0.09</v>
      </c>
      <c r="J963" s="2">
        <v>3131.31</v>
      </c>
      <c r="K963" s="1">
        <v>44378</v>
      </c>
      <c r="L963" s="1">
        <v>44378</v>
      </c>
      <c r="M963">
        <v>962</v>
      </c>
      <c r="N963">
        <v>2</v>
      </c>
      <c r="O963" t="s">
        <v>35</v>
      </c>
      <c r="P963" s="3">
        <v>0.05</v>
      </c>
      <c r="Q963" s="2">
        <v>156.56550000000001</v>
      </c>
      <c r="R963">
        <v>3</v>
      </c>
      <c r="S963" t="str">
        <f t="shared" ref="S963:S1013" si="15">PROPER(TEXT(B963,"mmmm"))</f>
        <v>Junho</v>
      </c>
    </row>
    <row r="964" spans="1:19" x14ac:dyDescent="0.3">
      <c r="A964">
        <v>963</v>
      </c>
      <c r="B964" s="1">
        <v>44350</v>
      </c>
      <c r="C964">
        <v>43</v>
      </c>
      <c r="D964" t="s">
        <v>86</v>
      </c>
      <c r="E964" t="s">
        <v>100</v>
      </c>
      <c r="F964">
        <v>42</v>
      </c>
      <c r="G964" s="2">
        <v>91</v>
      </c>
      <c r="H964" s="2">
        <v>3822</v>
      </c>
      <c r="I964" s="1">
        <v>7.0000000000000007E-2</v>
      </c>
      <c r="J964" s="2">
        <v>3554.46</v>
      </c>
      <c r="K964" s="1">
        <v>44376</v>
      </c>
      <c r="L964" s="1">
        <v>44376</v>
      </c>
      <c r="M964">
        <v>963</v>
      </c>
      <c r="N964">
        <v>1</v>
      </c>
      <c r="O964" t="s">
        <v>35</v>
      </c>
      <c r="P964" s="3">
        <v>0.1</v>
      </c>
      <c r="Q964" s="2">
        <v>355.44600000000003</v>
      </c>
      <c r="R964">
        <v>4</v>
      </c>
      <c r="S964" t="str">
        <f t="shared" si="15"/>
        <v>Junho</v>
      </c>
    </row>
    <row r="965" spans="1:19" hidden="1" x14ac:dyDescent="0.3">
      <c r="A965">
        <v>964</v>
      </c>
      <c r="B965" s="1">
        <v>44350</v>
      </c>
      <c r="C965">
        <v>25</v>
      </c>
      <c r="D965" t="s">
        <v>50</v>
      </c>
      <c r="E965" t="s">
        <v>100</v>
      </c>
      <c r="F965">
        <v>20</v>
      </c>
      <c r="G965" s="2">
        <v>94</v>
      </c>
      <c r="H965" s="2">
        <v>1880</v>
      </c>
      <c r="I965" s="1">
        <v>0.08</v>
      </c>
      <c r="J965" s="2">
        <v>1729.6</v>
      </c>
      <c r="K965" s="1">
        <v>44368</v>
      </c>
      <c r="L965" s="1">
        <v>44368</v>
      </c>
      <c r="M965">
        <v>964</v>
      </c>
      <c r="N965">
        <v>1</v>
      </c>
      <c r="O965" t="s">
        <v>27</v>
      </c>
      <c r="P965" s="3">
        <v>0.08</v>
      </c>
      <c r="Q965" s="2">
        <v>138.36799999999999</v>
      </c>
      <c r="R965">
        <v>5</v>
      </c>
      <c r="S965" t="str">
        <f t="shared" si="15"/>
        <v>Junho</v>
      </c>
    </row>
    <row r="966" spans="1:19" hidden="1" x14ac:dyDescent="0.3">
      <c r="A966">
        <v>965</v>
      </c>
      <c r="B966" s="1">
        <v>44351</v>
      </c>
      <c r="C966">
        <v>67</v>
      </c>
      <c r="D966" t="s">
        <v>93</v>
      </c>
      <c r="E966" t="s">
        <v>95</v>
      </c>
      <c r="F966">
        <v>21</v>
      </c>
      <c r="G966" s="2">
        <v>114</v>
      </c>
      <c r="H966" s="2">
        <v>2394</v>
      </c>
      <c r="I966" s="1">
        <v>0.09</v>
      </c>
      <c r="J966" s="2">
        <v>2178.54</v>
      </c>
      <c r="K966" s="1">
        <v>44362</v>
      </c>
      <c r="L966" s="1">
        <v>44362</v>
      </c>
      <c r="M966">
        <v>965</v>
      </c>
      <c r="N966">
        <v>6</v>
      </c>
      <c r="O966" t="s">
        <v>18</v>
      </c>
      <c r="P966" s="3">
        <v>0.1</v>
      </c>
      <c r="Q966" s="2">
        <v>217.85400000000001</v>
      </c>
      <c r="R966">
        <v>6</v>
      </c>
      <c r="S966" t="str">
        <f t="shared" si="15"/>
        <v>Junho</v>
      </c>
    </row>
    <row r="967" spans="1:19" hidden="1" x14ac:dyDescent="0.3">
      <c r="A967">
        <v>966</v>
      </c>
      <c r="B967" s="1">
        <v>44352</v>
      </c>
      <c r="C967">
        <v>3</v>
      </c>
      <c r="D967" t="s">
        <v>78</v>
      </c>
      <c r="E967" t="s">
        <v>103</v>
      </c>
      <c r="F967">
        <v>35</v>
      </c>
      <c r="G967" s="2">
        <v>114</v>
      </c>
      <c r="H967" s="2">
        <v>3990</v>
      </c>
      <c r="I967" s="1">
        <v>0.02</v>
      </c>
      <c r="J967" s="2">
        <v>3910.2</v>
      </c>
      <c r="K967" s="1">
        <v>44364</v>
      </c>
      <c r="L967" s="1">
        <v>44364</v>
      </c>
      <c r="M967">
        <v>966</v>
      </c>
      <c r="N967">
        <v>6</v>
      </c>
      <c r="O967" t="s">
        <v>18</v>
      </c>
      <c r="P967" s="3">
        <v>0.05</v>
      </c>
      <c r="Q967" s="2">
        <v>195.51</v>
      </c>
      <c r="R967">
        <v>7</v>
      </c>
      <c r="S967" t="str">
        <f t="shared" si="15"/>
        <v>Junho</v>
      </c>
    </row>
    <row r="968" spans="1:19" hidden="1" x14ac:dyDescent="0.3">
      <c r="A968">
        <v>967</v>
      </c>
      <c r="B968" s="1">
        <v>44352</v>
      </c>
      <c r="C968">
        <v>57</v>
      </c>
      <c r="D968" t="s">
        <v>76</v>
      </c>
      <c r="E968" t="s">
        <v>102</v>
      </c>
      <c r="F968">
        <v>14</v>
      </c>
      <c r="G968" s="2">
        <v>91</v>
      </c>
      <c r="H968" s="2">
        <v>1274</v>
      </c>
      <c r="I968" s="1">
        <v>0.15</v>
      </c>
      <c r="J968" s="2">
        <v>1082.9000000000001</v>
      </c>
      <c r="K968" s="1">
        <v>44378</v>
      </c>
      <c r="L968" s="1">
        <v>44378</v>
      </c>
      <c r="M968">
        <v>967</v>
      </c>
      <c r="N968">
        <v>1</v>
      </c>
      <c r="O968" t="s">
        <v>23</v>
      </c>
      <c r="P968" s="3">
        <v>0.08</v>
      </c>
      <c r="Q968" s="2">
        <v>86.632000000000005</v>
      </c>
      <c r="R968">
        <v>1</v>
      </c>
      <c r="S968" t="str">
        <f t="shared" si="15"/>
        <v>Junho</v>
      </c>
    </row>
    <row r="969" spans="1:19" hidden="1" x14ac:dyDescent="0.3">
      <c r="A969">
        <v>968</v>
      </c>
      <c r="B969" s="1">
        <v>44352</v>
      </c>
      <c r="C969">
        <v>19</v>
      </c>
      <c r="D969" t="s">
        <v>31</v>
      </c>
      <c r="E969" t="s">
        <v>96</v>
      </c>
      <c r="F969">
        <v>40</v>
      </c>
      <c r="G969" s="2">
        <v>105</v>
      </c>
      <c r="H969" s="2">
        <v>4200</v>
      </c>
      <c r="I969" s="1">
        <v>7.0000000000000007E-2</v>
      </c>
      <c r="J969" s="2">
        <v>3906</v>
      </c>
      <c r="K969" s="1">
        <v>44370</v>
      </c>
      <c r="L969" s="1">
        <v>44370</v>
      </c>
      <c r="M969">
        <v>968</v>
      </c>
      <c r="N969">
        <v>4</v>
      </c>
      <c r="O969" t="s">
        <v>25</v>
      </c>
      <c r="P969" s="3">
        <v>0.05</v>
      </c>
      <c r="Q969" s="2">
        <v>195.3</v>
      </c>
      <c r="R969">
        <v>2</v>
      </c>
      <c r="S969" t="str">
        <f t="shared" si="15"/>
        <v>Junho</v>
      </c>
    </row>
    <row r="970" spans="1:19" hidden="1" x14ac:dyDescent="0.3">
      <c r="A970">
        <v>969</v>
      </c>
      <c r="B970" s="1">
        <v>44352</v>
      </c>
      <c r="C970">
        <v>51</v>
      </c>
      <c r="D970" t="s">
        <v>43</v>
      </c>
      <c r="E970" t="s">
        <v>101</v>
      </c>
      <c r="F970">
        <v>50</v>
      </c>
      <c r="G970" s="2">
        <v>102</v>
      </c>
      <c r="H970" s="2">
        <v>5100</v>
      </c>
      <c r="I970" s="1">
        <v>0.14000000000000001</v>
      </c>
      <c r="J970" s="2">
        <v>4386</v>
      </c>
      <c r="K970" s="1">
        <v>44365</v>
      </c>
      <c r="L970" s="1">
        <v>44365</v>
      </c>
      <c r="M970">
        <v>969</v>
      </c>
      <c r="N970">
        <v>7</v>
      </c>
      <c r="O970" t="s">
        <v>30</v>
      </c>
      <c r="P970" s="3">
        <v>0.06</v>
      </c>
      <c r="Q970" s="2">
        <v>263.15999999999997</v>
      </c>
      <c r="R970">
        <v>3</v>
      </c>
      <c r="S970" t="str">
        <f t="shared" si="15"/>
        <v>Junho</v>
      </c>
    </row>
    <row r="971" spans="1:19" hidden="1" x14ac:dyDescent="0.3">
      <c r="A971">
        <v>970</v>
      </c>
      <c r="B971" s="1">
        <v>44353</v>
      </c>
      <c r="C971">
        <v>1</v>
      </c>
      <c r="D971" t="s">
        <v>80</v>
      </c>
      <c r="E971" t="s">
        <v>95</v>
      </c>
      <c r="F971">
        <v>32</v>
      </c>
      <c r="G971" s="2">
        <v>114</v>
      </c>
      <c r="H971" s="2">
        <v>3648</v>
      </c>
      <c r="I971" s="1">
        <v>0.06</v>
      </c>
      <c r="J971" s="2">
        <v>3429.12</v>
      </c>
      <c r="K971" s="1">
        <v>44354</v>
      </c>
      <c r="L971" s="1">
        <v>44354</v>
      </c>
      <c r="M971">
        <v>970</v>
      </c>
      <c r="N971">
        <v>4</v>
      </c>
      <c r="O971" t="s">
        <v>38</v>
      </c>
      <c r="P971" s="3">
        <v>0.05</v>
      </c>
      <c r="Q971" s="2">
        <v>171.45600000000002</v>
      </c>
      <c r="R971">
        <v>4</v>
      </c>
      <c r="S971" t="str">
        <f t="shared" si="15"/>
        <v>Junho</v>
      </c>
    </row>
    <row r="972" spans="1:19" hidden="1" x14ac:dyDescent="0.3">
      <c r="A972">
        <v>971</v>
      </c>
      <c r="B972" s="1">
        <v>44354</v>
      </c>
      <c r="C972">
        <v>19</v>
      </c>
      <c r="D972" t="s">
        <v>31</v>
      </c>
      <c r="E972" t="s">
        <v>95</v>
      </c>
      <c r="F972">
        <v>48</v>
      </c>
      <c r="G972" s="2">
        <v>107</v>
      </c>
      <c r="H972" s="2">
        <v>5136</v>
      </c>
      <c r="I972" s="1">
        <v>0.04</v>
      </c>
      <c r="J972" s="2">
        <v>4930.5600000000004</v>
      </c>
      <c r="K972" s="1">
        <v>44377</v>
      </c>
      <c r="L972" s="1">
        <v>44377</v>
      </c>
      <c r="M972">
        <v>971</v>
      </c>
      <c r="N972">
        <v>7</v>
      </c>
      <c r="O972" t="s">
        <v>25</v>
      </c>
      <c r="P972" s="3">
        <v>0.08</v>
      </c>
      <c r="Q972" s="2">
        <v>394.44480000000004</v>
      </c>
      <c r="R972">
        <v>5</v>
      </c>
      <c r="S972" t="str">
        <f t="shared" si="15"/>
        <v>Junho</v>
      </c>
    </row>
    <row r="973" spans="1:19" hidden="1" x14ac:dyDescent="0.3">
      <c r="A973">
        <v>972</v>
      </c>
      <c r="B973" s="1">
        <v>44354</v>
      </c>
      <c r="C973">
        <v>33</v>
      </c>
      <c r="D973" t="s">
        <v>63</v>
      </c>
      <c r="E973" t="s">
        <v>97</v>
      </c>
      <c r="F973">
        <v>23</v>
      </c>
      <c r="G973" s="2">
        <v>116</v>
      </c>
      <c r="H973" s="2">
        <v>2668</v>
      </c>
      <c r="I973" s="1">
        <v>0.08</v>
      </c>
      <c r="J973" s="2">
        <v>2454.56</v>
      </c>
      <c r="K973" s="1">
        <v>44379</v>
      </c>
      <c r="L973" s="1">
        <v>44379</v>
      </c>
      <c r="M973">
        <v>972</v>
      </c>
      <c r="N973">
        <v>6</v>
      </c>
      <c r="O973" t="s">
        <v>20</v>
      </c>
      <c r="P973" s="3">
        <v>0.08</v>
      </c>
      <c r="Q973" s="2">
        <v>196.3648</v>
      </c>
      <c r="R973">
        <v>6</v>
      </c>
      <c r="S973" t="str">
        <f t="shared" si="15"/>
        <v>Junho</v>
      </c>
    </row>
    <row r="974" spans="1:19" hidden="1" x14ac:dyDescent="0.3">
      <c r="A974">
        <v>973</v>
      </c>
      <c r="B974" s="1">
        <v>44354</v>
      </c>
      <c r="C974">
        <v>22</v>
      </c>
      <c r="D974" t="s">
        <v>41</v>
      </c>
      <c r="E974" t="s">
        <v>95</v>
      </c>
      <c r="F974">
        <v>33</v>
      </c>
      <c r="G974" s="2">
        <v>103</v>
      </c>
      <c r="H974" s="2">
        <v>3399</v>
      </c>
      <c r="I974" s="1">
        <v>0.08</v>
      </c>
      <c r="J974" s="2">
        <v>3127.08</v>
      </c>
      <c r="K974" s="1">
        <v>44373</v>
      </c>
      <c r="L974" s="1">
        <v>44373</v>
      </c>
      <c r="M974">
        <v>973</v>
      </c>
      <c r="N974">
        <v>7</v>
      </c>
      <c r="O974" t="s">
        <v>27</v>
      </c>
      <c r="P974" s="3">
        <v>0.1</v>
      </c>
      <c r="Q974" s="2">
        <v>312.70800000000003</v>
      </c>
      <c r="R974">
        <v>7</v>
      </c>
      <c r="S974" t="str">
        <f t="shared" si="15"/>
        <v>Junho</v>
      </c>
    </row>
    <row r="975" spans="1:19" hidden="1" x14ac:dyDescent="0.3">
      <c r="A975">
        <v>974</v>
      </c>
      <c r="B975" s="1">
        <v>44354</v>
      </c>
      <c r="C975">
        <v>84</v>
      </c>
      <c r="D975" t="s">
        <v>36</v>
      </c>
      <c r="E975" t="s">
        <v>97</v>
      </c>
      <c r="F975">
        <v>15</v>
      </c>
      <c r="G975" s="2">
        <v>120</v>
      </c>
      <c r="H975" s="2">
        <v>1800</v>
      </c>
      <c r="I975" s="1">
        <v>0.08</v>
      </c>
      <c r="J975" s="2">
        <v>1656</v>
      </c>
      <c r="K975" s="1">
        <v>44365</v>
      </c>
      <c r="L975" s="1">
        <v>44365</v>
      </c>
      <c r="M975">
        <v>974</v>
      </c>
      <c r="N975">
        <v>3</v>
      </c>
      <c r="O975" t="s">
        <v>18</v>
      </c>
      <c r="P975" s="3">
        <v>0.08</v>
      </c>
      <c r="Q975" s="2">
        <v>132.47999999999999</v>
      </c>
      <c r="R975">
        <v>1</v>
      </c>
      <c r="S975" t="str">
        <f t="shared" si="15"/>
        <v>Junho</v>
      </c>
    </row>
    <row r="976" spans="1:19" hidden="1" x14ac:dyDescent="0.3">
      <c r="A976">
        <v>975</v>
      </c>
      <c r="B976" s="1">
        <v>44354</v>
      </c>
      <c r="C976">
        <v>89</v>
      </c>
      <c r="D976" t="s">
        <v>40</v>
      </c>
      <c r="E976" t="s">
        <v>96</v>
      </c>
      <c r="F976">
        <v>34</v>
      </c>
      <c r="G976" s="2">
        <v>101</v>
      </c>
      <c r="H976" s="2">
        <v>3434</v>
      </c>
      <c r="I976" s="1">
        <v>0.11</v>
      </c>
      <c r="J976" s="2">
        <v>3056.26</v>
      </c>
      <c r="K976" s="1">
        <v>44372</v>
      </c>
      <c r="L976" s="1">
        <v>44372</v>
      </c>
      <c r="M976">
        <v>975</v>
      </c>
      <c r="N976">
        <v>1</v>
      </c>
      <c r="O976" t="s">
        <v>56</v>
      </c>
      <c r="P976" s="3">
        <v>0.09</v>
      </c>
      <c r="Q976" s="2">
        <v>275.0634</v>
      </c>
      <c r="R976">
        <v>2</v>
      </c>
      <c r="S976" t="str">
        <f t="shared" si="15"/>
        <v>Junho</v>
      </c>
    </row>
    <row r="977" spans="1:19" hidden="1" x14ac:dyDescent="0.3">
      <c r="A977">
        <v>976</v>
      </c>
      <c r="B977" s="1">
        <v>44354</v>
      </c>
      <c r="C977">
        <v>43</v>
      </c>
      <c r="D977" t="s">
        <v>86</v>
      </c>
      <c r="E977" t="s">
        <v>102</v>
      </c>
      <c r="F977">
        <v>35</v>
      </c>
      <c r="G977" s="2">
        <v>91</v>
      </c>
      <c r="H977" s="2">
        <v>3185</v>
      </c>
      <c r="I977" s="1">
        <v>0.02</v>
      </c>
      <c r="J977" s="2">
        <v>3121.3</v>
      </c>
      <c r="K977" s="1">
        <v>44380</v>
      </c>
      <c r="L977" s="1">
        <v>44380</v>
      </c>
      <c r="M977">
        <v>976</v>
      </c>
      <c r="N977">
        <v>3</v>
      </c>
      <c r="O977" t="s">
        <v>25</v>
      </c>
      <c r="P977" s="3">
        <v>7.0000000000000007E-2</v>
      </c>
      <c r="Q977" s="2">
        <v>218.49100000000004</v>
      </c>
      <c r="R977">
        <v>3</v>
      </c>
      <c r="S977" t="str">
        <f t="shared" si="15"/>
        <v>Junho</v>
      </c>
    </row>
    <row r="978" spans="1:19" hidden="1" x14ac:dyDescent="0.3">
      <c r="A978">
        <v>977</v>
      </c>
      <c r="B978" s="1">
        <v>44355</v>
      </c>
      <c r="C978">
        <v>26</v>
      </c>
      <c r="D978" t="s">
        <v>82</v>
      </c>
      <c r="E978" t="s">
        <v>96</v>
      </c>
      <c r="F978">
        <v>23</v>
      </c>
      <c r="G978" s="2">
        <v>114</v>
      </c>
      <c r="H978" s="2">
        <v>2622</v>
      </c>
      <c r="I978" s="1">
        <v>0.11</v>
      </c>
      <c r="J978" s="2">
        <v>2333.58</v>
      </c>
      <c r="K978" s="1">
        <v>44357</v>
      </c>
      <c r="L978" s="1">
        <v>44357</v>
      </c>
      <c r="M978">
        <v>977</v>
      </c>
      <c r="N978">
        <v>2</v>
      </c>
      <c r="O978" t="s">
        <v>56</v>
      </c>
      <c r="P978" s="3">
        <v>0.06</v>
      </c>
      <c r="Q978" s="2">
        <v>140.01479999999998</v>
      </c>
      <c r="R978">
        <v>4</v>
      </c>
      <c r="S978" t="str">
        <f t="shared" si="15"/>
        <v>Junho</v>
      </c>
    </row>
    <row r="979" spans="1:19" hidden="1" x14ac:dyDescent="0.3">
      <c r="A979">
        <v>978</v>
      </c>
      <c r="B979" s="1">
        <v>44355</v>
      </c>
      <c r="C979">
        <v>71</v>
      </c>
      <c r="D979" t="s">
        <v>17</v>
      </c>
      <c r="E979" t="s">
        <v>97</v>
      </c>
      <c r="F979">
        <v>29</v>
      </c>
      <c r="G979" s="2">
        <v>106</v>
      </c>
      <c r="H979" s="2">
        <v>3074</v>
      </c>
      <c r="I979" s="1">
        <v>0.11</v>
      </c>
      <c r="J979" s="2">
        <v>2735.86</v>
      </c>
      <c r="K979" s="1">
        <v>44355</v>
      </c>
      <c r="L979" s="1">
        <v>44355</v>
      </c>
      <c r="M979">
        <v>978</v>
      </c>
      <c r="N979">
        <v>5</v>
      </c>
      <c r="O979" t="s">
        <v>20</v>
      </c>
      <c r="P979" s="3">
        <v>7.0000000000000007E-2</v>
      </c>
      <c r="Q979" s="2">
        <v>191.51020000000003</v>
      </c>
      <c r="R979">
        <v>5</v>
      </c>
      <c r="S979" t="str">
        <f t="shared" si="15"/>
        <v>Junho</v>
      </c>
    </row>
    <row r="980" spans="1:19" hidden="1" x14ac:dyDescent="0.3">
      <c r="A980">
        <v>979</v>
      </c>
      <c r="B980" s="1">
        <v>44355</v>
      </c>
      <c r="C980">
        <v>76</v>
      </c>
      <c r="D980" t="s">
        <v>91</v>
      </c>
      <c r="E980" t="s">
        <v>99</v>
      </c>
      <c r="F980">
        <v>29</v>
      </c>
      <c r="G980" s="2">
        <v>117</v>
      </c>
      <c r="H980" s="2">
        <v>3393</v>
      </c>
      <c r="I980" s="1">
        <v>0.03</v>
      </c>
      <c r="J980" s="2">
        <v>3291.21</v>
      </c>
      <c r="K980" s="1">
        <v>44355</v>
      </c>
      <c r="L980" s="1">
        <v>44355</v>
      </c>
      <c r="M980">
        <v>979</v>
      </c>
      <c r="N980">
        <v>4</v>
      </c>
      <c r="O980" t="s">
        <v>30</v>
      </c>
      <c r="P980" s="3">
        <v>0.05</v>
      </c>
      <c r="Q980" s="2">
        <v>164.56050000000002</v>
      </c>
      <c r="R980">
        <v>6</v>
      </c>
      <c r="S980" t="str">
        <f t="shared" si="15"/>
        <v>Junho</v>
      </c>
    </row>
    <row r="981" spans="1:19" hidden="1" x14ac:dyDescent="0.3">
      <c r="A981">
        <v>980</v>
      </c>
      <c r="B981" s="1">
        <v>44356</v>
      </c>
      <c r="C981">
        <v>58</v>
      </c>
      <c r="D981" t="s">
        <v>59</v>
      </c>
      <c r="E981" t="s">
        <v>97</v>
      </c>
      <c r="F981">
        <v>20</v>
      </c>
      <c r="G981" s="2">
        <v>96</v>
      </c>
      <c r="H981" s="2">
        <v>1920</v>
      </c>
      <c r="I981" s="1">
        <v>0.08</v>
      </c>
      <c r="J981" s="2">
        <v>1766.4</v>
      </c>
      <c r="K981" s="1">
        <v>44375</v>
      </c>
      <c r="L981" s="1">
        <v>44375</v>
      </c>
      <c r="M981">
        <v>980</v>
      </c>
      <c r="N981">
        <v>7</v>
      </c>
      <c r="O981" t="s">
        <v>27</v>
      </c>
      <c r="P981" s="3">
        <v>0.08</v>
      </c>
      <c r="Q981" s="2">
        <v>141.31200000000001</v>
      </c>
      <c r="R981">
        <v>7</v>
      </c>
      <c r="S981" t="str">
        <f t="shared" si="15"/>
        <v>Junho</v>
      </c>
    </row>
    <row r="982" spans="1:19" hidden="1" x14ac:dyDescent="0.3">
      <c r="A982">
        <v>981</v>
      </c>
      <c r="B982" s="1">
        <v>44358</v>
      </c>
      <c r="C982">
        <v>70</v>
      </c>
      <c r="D982" t="s">
        <v>54</v>
      </c>
      <c r="E982" t="s">
        <v>104</v>
      </c>
      <c r="F982">
        <v>41</v>
      </c>
      <c r="G982" s="2">
        <v>102</v>
      </c>
      <c r="H982" s="2">
        <v>4182</v>
      </c>
      <c r="I982" s="1">
        <v>0.15</v>
      </c>
      <c r="J982" s="2">
        <v>3554.7</v>
      </c>
      <c r="K982" s="1">
        <v>44366</v>
      </c>
      <c r="L982" s="1">
        <v>44366</v>
      </c>
      <c r="M982">
        <v>981</v>
      </c>
      <c r="N982">
        <v>6</v>
      </c>
      <c r="O982" t="s">
        <v>38</v>
      </c>
      <c r="P982" s="3">
        <v>0.05</v>
      </c>
      <c r="Q982" s="2">
        <v>177.73500000000001</v>
      </c>
      <c r="R982">
        <v>1</v>
      </c>
      <c r="S982" t="str">
        <f t="shared" si="15"/>
        <v>Junho</v>
      </c>
    </row>
    <row r="983" spans="1:19" hidden="1" x14ac:dyDescent="0.3">
      <c r="A983">
        <v>982</v>
      </c>
      <c r="B983" s="1">
        <v>44358</v>
      </c>
      <c r="C983">
        <v>34</v>
      </c>
      <c r="D983" t="s">
        <v>46</v>
      </c>
      <c r="E983" t="s">
        <v>103</v>
      </c>
      <c r="F983">
        <v>38</v>
      </c>
      <c r="G983" s="2">
        <v>97</v>
      </c>
      <c r="H983" s="2">
        <v>3686</v>
      </c>
      <c r="I983" s="1">
        <v>7.0000000000000007E-2</v>
      </c>
      <c r="J983" s="2">
        <v>3427.98</v>
      </c>
      <c r="K983" s="1">
        <v>44364</v>
      </c>
      <c r="L983" s="1">
        <v>44364</v>
      </c>
      <c r="M983">
        <v>982</v>
      </c>
      <c r="N983">
        <v>1</v>
      </c>
      <c r="O983" t="s">
        <v>30</v>
      </c>
      <c r="P983" s="3">
        <v>7.0000000000000007E-2</v>
      </c>
      <c r="Q983" s="2">
        <v>239.95860000000002</v>
      </c>
      <c r="R983">
        <v>2</v>
      </c>
      <c r="S983" t="str">
        <f t="shared" si="15"/>
        <v>Junho</v>
      </c>
    </row>
    <row r="984" spans="1:19" hidden="1" x14ac:dyDescent="0.3">
      <c r="A984">
        <v>983</v>
      </c>
      <c r="B984" s="1">
        <v>44358</v>
      </c>
      <c r="C984">
        <v>72</v>
      </c>
      <c r="D984" t="s">
        <v>31</v>
      </c>
      <c r="E984" t="s">
        <v>102</v>
      </c>
      <c r="F984">
        <v>25</v>
      </c>
      <c r="G984" s="2">
        <v>91</v>
      </c>
      <c r="H984" s="2">
        <v>2275</v>
      </c>
      <c r="I984" s="1">
        <v>7.0000000000000007E-2</v>
      </c>
      <c r="J984" s="2">
        <v>2115.75</v>
      </c>
      <c r="K984" s="1">
        <v>44373</v>
      </c>
      <c r="L984" s="1">
        <v>44373</v>
      </c>
      <c r="M984">
        <v>983</v>
      </c>
      <c r="N984">
        <v>1</v>
      </c>
      <c r="O984" t="s">
        <v>20</v>
      </c>
      <c r="P984" s="3">
        <v>0.05</v>
      </c>
      <c r="Q984" s="2">
        <v>105.78750000000001</v>
      </c>
      <c r="R984">
        <v>3</v>
      </c>
      <c r="S984" t="str">
        <f t="shared" si="15"/>
        <v>Junho</v>
      </c>
    </row>
    <row r="985" spans="1:19" hidden="1" x14ac:dyDescent="0.3">
      <c r="A985">
        <v>984</v>
      </c>
      <c r="B985" s="1">
        <v>44358</v>
      </c>
      <c r="C985">
        <v>74</v>
      </c>
      <c r="D985" t="s">
        <v>31</v>
      </c>
      <c r="E985" t="s">
        <v>95</v>
      </c>
      <c r="F985">
        <v>13</v>
      </c>
      <c r="G985" s="2">
        <v>115</v>
      </c>
      <c r="H985" s="2">
        <v>1495</v>
      </c>
      <c r="I985" s="1">
        <v>0.04</v>
      </c>
      <c r="J985" s="2">
        <v>1435.2</v>
      </c>
      <c r="K985" s="1">
        <v>44373</v>
      </c>
      <c r="L985" s="1">
        <v>44373</v>
      </c>
      <c r="M985">
        <v>984</v>
      </c>
      <c r="N985">
        <v>4</v>
      </c>
      <c r="O985" t="s">
        <v>42</v>
      </c>
      <c r="P985" s="3">
        <v>0.05</v>
      </c>
      <c r="Q985" s="2">
        <v>71.760000000000005</v>
      </c>
      <c r="R985">
        <v>4</v>
      </c>
      <c r="S985" t="str">
        <f t="shared" si="15"/>
        <v>Junho</v>
      </c>
    </row>
    <row r="986" spans="1:19" hidden="1" x14ac:dyDescent="0.3">
      <c r="A986">
        <v>985</v>
      </c>
      <c r="B986" s="1">
        <v>44358</v>
      </c>
      <c r="C986">
        <v>44</v>
      </c>
      <c r="D986" t="s">
        <v>58</v>
      </c>
      <c r="E986" t="s">
        <v>101</v>
      </c>
      <c r="F986">
        <v>26</v>
      </c>
      <c r="G986" s="2">
        <v>114</v>
      </c>
      <c r="H986" s="2">
        <v>2964</v>
      </c>
      <c r="I986" s="1">
        <v>0.09</v>
      </c>
      <c r="J986" s="2">
        <v>2697.24</v>
      </c>
      <c r="K986" s="1">
        <v>44366</v>
      </c>
      <c r="L986" s="1">
        <v>44366</v>
      </c>
      <c r="M986">
        <v>985</v>
      </c>
      <c r="N986">
        <v>6</v>
      </c>
      <c r="O986" t="s">
        <v>42</v>
      </c>
      <c r="P986" s="3">
        <v>0.06</v>
      </c>
      <c r="Q986" s="2">
        <v>161.83439999999999</v>
      </c>
      <c r="R986">
        <v>5</v>
      </c>
      <c r="S986" t="str">
        <f t="shared" si="15"/>
        <v>Junho</v>
      </c>
    </row>
    <row r="987" spans="1:19" hidden="1" x14ac:dyDescent="0.3">
      <c r="A987">
        <v>986</v>
      </c>
      <c r="B987" s="1">
        <v>44358</v>
      </c>
      <c r="C987">
        <v>47</v>
      </c>
      <c r="D987" t="s">
        <v>33</v>
      </c>
      <c r="E987" t="s">
        <v>98</v>
      </c>
      <c r="F987">
        <v>32</v>
      </c>
      <c r="G987" s="2">
        <v>98</v>
      </c>
      <c r="H987" s="2">
        <v>3136</v>
      </c>
      <c r="I987" s="1">
        <v>0.08</v>
      </c>
      <c r="J987" s="2">
        <v>2885.12</v>
      </c>
      <c r="K987" s="1">
        <v>44379</v>
      </c>
      <c r="L987" s="1">
        <v>44379</v>
      </c>
      <c r="M987">
        <v>986</v>
      </c>
      <c r="N987">
        <v>3</v>
      </c>
      <c r="O987" t="s">
        <v>23</v>
      </c>
      <c r="P987" s="3">
        <v>7.0000000000000007E-2</v>
      </c>
      <c r="Q987" s="2">
        <v>201.95840000000001</v>
      </c>
      <c r="R987">
        <v>6</v>
      </c>
      <c r="S987" t="str">
        <f t="shared" si="15"/>
        <v>Junho</v>
      </c>
    </row>
    <row r="988" spans="1:19" hidden="1" x14ac:dyDescent="0.3">
      <c r="A988">
        <v>987</v>
      </c>
      <c r="B988" s="1">
        <v>44360</v>
      </c>
      <c r="C988">
        <v>43</v>
      </c>
      <c r="D988" t="s">
        <v>86</v>
      </c>
      <c r="E988" t="s">
        <v>97</v>
      </c>
      <c r="F988">
        <v>15</v>
      </c>
      <c r="G988" s="2">
        <v>95</v>
      </c>
      <c r="H988" s="2">
        <v>1425</v>
      </c>
      <c r="I988" s="1">
        <v>0.11</v>
      </c>
      <c r="J988" s="2">
        <v>1268.25</v>
      </c>
      <c r="K988" s="1">
        <v>44387</v>
      </c>
      <c r="L988" s="1">
        <v>44387</v>
      </c>
      <c r="M988">
        <v>987</v>
      </c>
      <c r="N988">
        <v>2</v>
      </c>
      <c r="O988" t="s">
        <v>20</v>
      </c>
      <c r="P988" s="3">
        <v>0.09</v>
      </c>
      <c r="Q988" s="2">
        <v>114.1425</v>
      </c>
      <c r="R988">
        <v>7</v>
      </c>
      <c r="S988" t="str">
        <f t="shared" si="15"/>
        <v>Junho</v>
      </c>
    </row>
    <row r="989" spans="1:19" hidden="1" x14ac:dyDescent="0.3">
      <c r="A989">
        <v>988</v>
      </c>
      <c r="B989" s="1">
        <v>44360</v>
      </c>
      <c r="C989">
        <v>73</v>
      </c>
      <c r="D989" t="s">
        <v>31</v>
      </c>
      <c r="E989" t="s">
        <v>99</v>
      </c>
      <c r="F989">
        <v>30</v>
      </c>
      <c r="G989" s="2">
        <v>97</v>
      </c>
      <c r="H989" s="2">
        <v>2910</v>
      </c>
      <c r="I989" s="1">
        <v>0.09</v>
      </c>
      <c r="J989" s="2">
        <v>2648.1</v>
      </c>
      <c r="K989" s="1">
        <v>44385</v>
      </c>
      <c r="L989" s="1">
        <v>44385</v>
      </c>
      <c r="M989">
        <v>988</v>
      </c>
      <c r="N989">
        <v>3</v>
      </c>
      <c r="O989" t="s">
        <v>18</v>
      </c>
      <c r="P989" s="3">
        <v>0.1</v>
      </c>
      <c r="Q989" s="2">
        <v>264.81</v>
      </c>
      <c r="R989">
        <v>1</v>
      </c>
      <c r="S989" t="str">
        <f t="shared" si="15"/>
        <v>Junho</v>
      </c>
    </row>
    <row r="990" spans="1:19" hidden="1" x14ac:dyDescent="0.3">
      <c r="A990">
        <v>989</v>
      </c>
      <c r="B990" s="1">
        <v>44361</v>
      </c>
      <c r="C990">
        <v>93</v>
      </c>
      <c r="D990" t="s">
        <v>26</v>
      </c>
      <c r="E990" t="s">
        <v>98</v>
      </c>
      <c r="F990">
        <v>12</v>
      </c>
      <c r="G990" s="2">
        <v>96</v>
      </c>
      <c r="H990" s="2">
        <v>1152</v>
      </c>
      <c r="I990" s="1">
        <v>0.03</v>
      </c>
      <c r="J990" s="2">
        <v>1117.44</v>
      </c>
      <c r="K990" s="1">
        <v>44376</v>
      </c>
      <c r="L990" s="1">
        <v>44376</v>
      </c>
      <c r="M990">
        <v>989</v>
      </c>
      <c r="N990">
        <v>2</v>
      </c>
      <c r="O990" t="s">
        <v>30</v>
      </c>
      <c r="P990" s="3">
        <v>0.06</v>
      </c>
      <c r="Q990" s="2">
        <v>67.046400000000006</v>
      </c>
      <c r="R990">
        <v>2</v>
      </c>
      <c r="S990" t="str">
        <f t="shared" si="15"/>
        <v>Junho</v>
      </c>
    </row>
    <row r="991" spans="1:19" hidden="1" x14ac:dyDescent="0.3">
      <c r="A991">
        <v>990</v>
      </c>
      <c r="B991" s="1">
        <v>44361</v>
      </c>
      <c r="C991">
        <v>6</v>
      </c>
      <c r="D991" t="s">
        <v>75</v>
      </c>
      <c r="E991" t="s">
        <v>97</v>
      </c>
      <c r="F991">
        <v>36</v>
      </c>
      <c r="G991" s="2">
        <v>92</v>
      </c>
      <c r="H991" s="2">
        <v>3312</v>
      </c>
      <c r="I991" s="1">
        <v>0.15</v>
      </c>
      <c r="J991" s="2">
        <v>2815.2</v>
      </c>
      <c r="K991" s="1">
        <v>44390</v>
      </c>
      <c r="L991" s="1">
        <v>44390</v>
      </c>
      <c r="M991">
        <v>990</v>
      </c>
      <c r="N991">
        <v>7</v>
      </c>
      <c r="O991" t="s">
        <v>30</v>
      </c>
      <c r="P991" s="3">
        <v>0.09</v>
      </c>
      <c r="Q991" s="2">
        <v>253.36799999999997</v>
      </c>
      <c r="R991">
        <v>3</v>
      </c>
      <c r="S991" t="str">
        <f t="shared" si="15"/>
        <v>Junho</v>
      </c>
    </row>
    <row r="992" spans="1:19" hidden="1" x14ac:dyDescent="0.3">
      <c r="A992">
        <v>991</v>
      </c>
      <c r="B992" s="1">
        <v>44362</v>
      </c>
      <c r="C992">
        <v>11</v>
      </c>
      <c r="D992" t="s">
        <v>47</v>
      </c>
      <c r="E992" t="s">
        <v>95</v>
      </c>
      <c r="F992">
        <v>50</v>
      </c>
      <c r="G992" s="2">
        <v>118</v>
      </c>
      <c r="H992" s="2">
        <v>5900</v>
      </c>
      <c r="I992" s="1">
        <v>0.13</v>
      </c>
      <c r="J992" s="2">
        <v>5133</v>
      </c>
      <c r="K992" s="1">
        <v>44366</v>
      </c>
      <c r="L992" s="1">
        <v>44366</v>
      </c>
      <c r="M992">
        <v>991</v>
      </c>
      <c r="N992">
        <v>1</v>
      </c>
      <c r="O992" t="s">
        <v>30</v>
      </c>
      <c r="P992" s="3">
        <v>0.09</v>
      </c>
      <c r="Q992" s="2">
        <v>461.96999999999997</v>
      </c>
      <c r="R992">
        <v>4</v>
      </c>
      <c r="S992" t="str">
        <f t="shared" si="15"/>
        <v>Junho</v>
      </c>
    </row>
    <row r="993" spans="1:19" hidden="1" x14ac:dyDescent="0.3">
      <c r="A993">
        <v>992</v>
      </c>
      <c r="B993" s="1">
        <v>44363</v>
      </c>
      <c r="C993">
        <v>42</v>
      </c>
      <c r="D993" t="s">
        <v>79</v>
      </c>
      <c r="E993" t="s">
        <v>98</v>
      </c>
      <c r="F993">
        <v>12</v>
      </c>
      <c r="G993" s="2">
        <v>111</v>
      </c>
      <c r="H993" s="2">
        <v>1332</v>
      </c>
      <c r="I993" s="1">
        <v>0.11</v>
      </c>
      <c r="J993" s="2">
        <v>1185.48</v>
      </c>
      <c r="K993" s="1">
        <v>44366</v>
      </c>
      <c r="L993" s="1">
        <v>44366</v>
      </c>
      <c r="M993">
        <v>992</v>
      </c>
      <c r="N993">
        <v>7</v>
      </c>
      <c r="O993" t="s">
        <v>27</v>
      </c>
      <c r="P993" s="3">
        <v>0.09</v>
      </c>
      <c r="Q993" s="2">
        <v>106.6932</v>
      </c>
      <c r="R993">
        <v>5</v>
      </c>
      <c r="S993" t="str">
        <f t="shared" si="15"/>
        <v>Junho</v>
      </c>
    </row>
    <row r="994" spans="1:19" hidden="1" x14ac:dyDescent="0.3">
      <c r="A994">
        <v>993</v>
      </c>
      <c r="B994" s="1">
        <v>44364</v>
      </c>
      <c r="C994">
        <v>60</v>
      </c>
      <c r="D994" t="s">
        <v>69</v>
      </c>
      <c r="E994" t="s">
        <v>99</v>
      </c>
      <c r="F994">
        <v>24</v>
      </c>
      <c r="G994" s="2">
        <v>107</v>
      </c>
      <c r="H994" s="2">
        <v>2568</v>
      </c>
      <c r="I994" s="1">
        <v>0.05</v>
      </c>
      <c r="J994" s="2">
        <v>2439.6</v>
      </c>
      <c r="K994" s="1">
        <v>44365</v>
      </c>
      <c r="L994" s="1">
        <v>44365</v>
      </c>
      <c r="M994">
        <v>993</v>
      </c>
      <c r="N994">
        <v>7</v>
      </c>
      <c r="O994" t="s">
        <v>56</v>
      </c>
      <c r="P994" s="3">
        <v>0.06</v>
      </c>
      <c r="Q994" s="2">
        <v>146.37599999999998</v>
      </c>
      <c r="R994">
        <v>6</v>
      </c>
      <c r="S994" t="str">
        <f t="shared" si="15"/>
        <v>Junho</v>
      </c>
    </row>
    <row r="995" spans="1:19" hidden="1" x14ac:dyDescent="0.3">
      <c r="A995">
        <v>994</v>
      </c>
      <c r="B995" s="1">
        <v>44364</v>
      </c>
      <c r="C995">
        <v>79</v>
      </c>
      <c r="D995" t="s">
        <v>26</v>
      </c>
      <c r="E995" t="s">
        <v>98</v>
      </c>
      <c r="F995">
        <v>13</v>
      </c>
      <c r="G995" s="2">
        <v>117</v>
      </c>
      <c r="H995" s="2">
        <v>1521</v>
      </c>
      <c r="I995" s="1">
        <v>7.0000000000000007E-2</v>
      </c>
      <c r="J995" s="2">
        <v>1414.53</v>
      </c>
      <c r="K995" s="1">
        <v>44382</v>
      </c>
      <c r="L995" s="1">
        <v>44382</v>
      </c>
      <c r="M995">
        <v>994</v>
      </c>
      <c r="N995">
        <v>5</v>
      </c>
      <c r="O995" t="s">
        <v>38</v>
      </c>
      <c r="P995" s="3">
        <v>0.08</v>
      </c>
      <c r="Q995" s="2">
        <v>113.16240000000001</v>
      </c>
      <c r="R995">
        <v>7</v>
      </c>
      <c r="S995" t="str">
        <f t="shared" si="15"/>
        <v>Junho</v>
      </c>
    </row>
    <row r="996" spans="1:19" hidden="1" x14ac:dyDescent="0.3">
      <c r="A996">
        <v>995</v>
      </c>
      <c r="B996" s="1">
        <v>44364</v>
      </c>
      <c r="C996">
        <v>21</v>
      </c>
      <c r="D996" t="s">
        <v>74</v>
      </c>
      <c r="E996" t="s">
        <v>95</v>
      </c>
      <c r="F996">
        <v>14</v>
      </c>
      <c r="G996" s="2">
        <v>119</v>
      </c>
      <c r="H996" s="2">
        <v>1666</v>
      </c>
      <c r="I996" s="1">
        <v>0.13</v>
      </c>
      <c r="J996" s="2">
        <v>1449.42</v>
      </c>
      <c r="K996" s="1">
        <v>44374</v>
      </c>
      <c r="L996" s="1">
        <v>44374</v>
      </c>
      <c r="M996">
        <v>995</v>
      </c>
      <c r="N996">
        <v>5</v>
      </c>
      <c r="O996" t="s">
        <v>30</v>
      </c>
      <c r="P996" s="3">
        <v>0.06</v>
      </c>
      <c r="Q996" s="2">
        <v>86.965199999999996</v>
      </c>
      <c r="R996">
        <v>1</v>
      </c>
      <c r="S996" t="str">
        <f t="shared" si="15"/>
        <v>Junho</v>
      </c>
    </row>
    <row r="997" spans="1:19" hidden="1" x14ac:dyDescent="0.3">
      <c r="A997">
        <v>996</v>
      </c>
      <c r="B997" s="1">
        <v>44364</v>
      </c>
      <c r="C997">
        <v>77</v>
      </c>
      <c r="D997" t="s">
        <v>52</v>
      </c>
      <c r="E997" t="s">
        <v>99</v>
      </c>
      <c r="F997">
        <v>16</v>
      </c>
      <c r="G997" s="2">
        <v>113</v>
      </c>
      <c r="H997" s="2">
        <v>1808</v>
      </c>
      <c r="I997" s="1">
        <v>0.03</v>
      </c>
      <c r="J997" s="2">
        <v>1753.76</v>
      </c>
      <c r="K997" s="1">
        <v>44364</v>
      </c>
      <c r="L997" s="1">
        <v>44364</v>
      </c>
      <c r="M997">
        <v>996</v>
      </c>
      <c r="N997">
        <v>5</v>
      </c>
      <c r="O997" t="s">
        <v>20</v>
      </c>
      <c r="P997" s="3">
        <v>0.09</v>
      </c>
      <c r="Q997" s="2">
        <v>157.83840000000001</v>
      </c>
      <c r="R997">
        <v>2</v>
      </c>
      <c r="S997" t="str">
        <f t="shared" si="15"/>
        <v>Junho</v>
      </c>
    </row>
    <row r="998" spans="1:19" hidden="1" x14ac:dyDescent="0.3">
      <c r="A998">
        <v>997</v>
      </c>
      <c r="B998" s="1">
        <v>44365</v>
      </c>
      <c r="C998">
        <v>28</v>
      </c>
      <c r="D998" t="s">
        <v>73</v>
      </c>
      <c r="E998" t="s">
        <v>98</v>
      </c>
      <c r="F998">
        <v>33</v>
      </c>
      <c r="G998" s="2">
        <v>97</v>
      </c>
      <c r="H998" s="2">
        <v>3201</v>
      </c>
      <c r="I998" s="1">
        <v>0.11</v>
      </c>
      <c r="J998" s="2">
        <v>2848.89</v>
      </c>
      <c r="K998" s="1">
        <v>44373</v>
      </c>
      <c r="L998" s="1">
        <v>44373</v>
      </c>
      <c r="M998">
        <v>997</v>
      </c>
      <c r="N998">
        <v>3</v>
      </c>
      <c r="O998" t="s">
        <v>38</v>
      </c>
      <c r="P998" s="3">
        <v>7.0000000000000007E-2</v>
      </c>
      <c r="Q998" s="2">
        <v>199.42230000000001</v>
      </c>
      <c r="R998">
        <v>3</v>
      </c>
      <c r="S998" t="str">
        <f t="shared" si="15"/>
        <v>Junho</v>
      </c>
    </row>
    <row r="999" spans="1:19" hidden="1" x14ac:dyDescent="0.3">
      <c r="A999">
        <v>998</v>
      </c>
      <c r="B999" s="1">
        <v>44365</v>
      </c>
      <c r="C999">
        <v>97</v>
      </c>
      <c r="D999" t="s">
        <v>53</v>
      </c>
      <c r="E999" t="s">
        <v>101</v>
      </c>
      <c r="F999">
        <v>13</v>
      </c>
      <c r="G999" s="2">
        <v>99</v>
      </c>
      <c r="H999" s="2">
        <v>1287</v>
      </c>
      <c r="I999" s="1">
        <v>0.06</v>
      </c>
      <c r="J999" s="2">
        <v>1209.78</v>
      </c>
      <c r="K999" s="1">
        <v>44382</v>
      </c>
      <c r="L999" s="1">
        <v>44382</v>
      </c>
      <c r="M999">
        <v>998</v>
      </c>
      <c r="N999">
        <v>3</v>
      </c>
      <c r="O999" t="s">
        <v>23</v>
      </c>
      <c r="P999" s="3">
        <v>7.0000000000000007E-2</v>
      </c>
      <c r="Q999" s="2">
        <v>84.684600000000003</v>
      </c>
      <c r="R999">
        <v>4</v>
      </c>
      <c r="S999" t="str">
        <f t="shared" si="15"/>
        <v>Junho</v>
      </c>
    </row>
    <row r="1000" spans="1:19" hidden="1" x14ac:dyDescent="0.3">
      <c r="A1000">
        <v>999</v>
      </c>
      <c r="B1000" s="1">
        <v>44365</v>
      </c>
      <c r="C1000">
        <v>8</v>
      </c>
      <c r="D1000" t="s">
        <v>31</v>
      </c>
      <c r="E1000" t="s">
        <v>97</v>
      </c>
      <c r="F1000">
        <v>21</v>
      </c>
      <c r="G1000" s="2">
        <v>93</v>
      </c>
      <c r="H1000" s="2">
        <v>1953</v>
      </c>
      <c r="I1000" s="1">
        <v>0.03</v>
      </c>
      <c r="J1000" s="2">
        <v>1894.41</v>
      </c>
      <c r="K1000" s="1">
        <v>44392</v>
      </c>
      <c r="L1000" s="1">
        <v>44392</v>
      </c>
      <c r="M1000">
        <v>999</v>
      </c>
      <c r="N1000">
        <v>5</v>
      </c>
      <c r="O1000" t="s">
        <v>56</v>
      </c>
      <c r="P1000" s="3">
        <v>7.0000000000000007E-2</v>
      </c>
      <c r="Q1000" s="2">
        <v>132.60870000000003</v>
      </c>
      <c r="R1000">
        <v>5</v>
      </c>
      <c r="S1000" t="str">
        <f t="shared" si="15"/>
        <v>Junho</v>
      </c>
    </row>
    <row r="1001" spans="1:19" hidden="1" x14ac:dyDescent="0.3">
      <c r="A1001">
        <v>1000</v>
      </c>
      <c r="B1001" s="1">
        <v>44366</v>
      </c>
      <c r="C1001">
        <v>1</v>
      </c>
      <c r="D1001" t="s">
        <v>80</v>
      </c>
      <c r="E1001" t="s">
        <v>98</v>
      </c>
      <c r="F1001">
        <v>41</v>
      </c>
      <c r="G1001" s="2">
        <v>92</v>
      </c>
      <c r="H1001" s="2">
        <v>3772</v>
      </c>
      <c r="I1001" s="1">
        <v>0.1</v>
      </c>
      <c r="J1001" s="2">
        <v>3394.8</v>
      </c>
      <c r="K1001" s="1">
        <v>44393</v>
      </c>
      <c r="L1001" s="1">
        <v>44393</v>
      </c>
      <c r="M1001">
        <v>1000</v>
      </c>
      <c r="N1001">
        <v>7</v>
      </c>
      <c r="O1001" t="s">
        <v>27</v>
      </c>
      <c r="P1001" s="3">
        <v>0.08</v>
      </c>
      <c r="Q1001" s="2">
        <v>271.584</v>
      </c>
      <c r="R1001">
        <v>6</v>
      </c>
      <c r="S1001" t="str">
        <f t="shared" si="15"/>
        <v>Junho</v>
      </c>
    </row>
    <row r="1002" spans="1:19" hidden="1" x14ac:dyDescent="0.3">
      <c r="A1002">
        <v>1001</v>
      </c>
      <c r="B1002" s="1">
        <v>44367</v>
      </c>
      <c r="C1002">
        <v>98</v>
      </c>
      <c r="D1002" t="s">
        <v>21</v>
      </c>
      <c r="E1002" t="s">
        <v>96</v>
      </c>
      <c r="F1002">
        <v>47</v>
      </c>
      <c r="G1002" s="2">
        <v>108</v>
      </c>
      <c r="H1002" s="2">
        <v>5076</v>
      </c>
      <c r="I1002" s="1">
        <v>0</v>
      </c>
      <c r="J1002" s="2">
        <v>5076</v>
      </c>
      <c r="K1002" s="1">
        <v>44397</v>
      </c>
      <c r="L1002" s="1">
        <v>44397</v>
      </c>
      <c r="M1002">
        <v>1001</v>
      </c>
      <c r="N1002">
        <v>2</v>
      </c>
      <c r="O1002" t="s">
        <v>25</v>
      </c>
      <c r="P1002" s="3">
        <v>0.05</v>
      </c>
      <c r="Q1002" s="2">
        <v>253.8</v>
      </c>
      <c r="R1002">
        <v>7</v>
      </c>
      <c r="S1002" t="str">
        <f t="shared" si="15"/>
        <v>Junho</v>
      </c>
    </row>
    <row r="1003" spans="1:19" hidden="1" x14ac:dyDescent="0.3">
      <c r="A1003">
        <v>1002</v>
      </c>
      <c r="B1003" s="1">
        <v>44369</v>
      </c>
      <c r="C1003">
        <v>28</v>
      </c>
      <c r="D1003" t="s">
        <v>73</v>
      </c>
      <c r="E1003" t="s">
        <v>97</v>
      </c>
      <c r="F1003">
        <v>27</v>
      </c>
      <c r="G1003" s="2">
        <v>105</v>
      </c>
      <c r="H1003" s="2">
        <v>2835</v>
      </c>
      <c r="I1003" s="1">
        <v>0.01</v>
      </c>
      <c r="J1003" s="2">
        <v>2806.65</v>
      </c>
      <c r="K1003" s="1">
        <v>44385</v>
      </c>
      <c r="L1003" s="1">
        <v>44385</v>
      </c>
      <c r="M1003">
        <v>1002</v>
      </c>
      <c r="N1003">
        <v>7</v>
      </c>
      <c r="O1003" t="s">
        <v>18</v>
      </c>
      <c r="P1003" s="3">
        <v>0.06</v>
      </c>
      <c r="Q1003" s="2">
        <v>168.399</v>
      </c>
      <c r="R1003">
        <v>1</v>
      </c>
      <c r="S1003" t="str">
        <f t="shared" si="15"/>
        <v>Junho</v>
      </c>
    </row>
    <row r="1004" spans="1:19" hidden="1" x14ac:dyDescent="0.3">
      <c r="A1004">
        <v>1003</v>
      </c>
      <c r="B1004" s="1">
        <v>44369</v>
      </c>
      <c r="C1004">
        <v>11</v>
      </c>
      <c r="D1004" t="s">
        <v>47</v>
      </c>
      <c r="E1004" t="s">
        <v>97</v>
      </c>
      <c r="F1004">
        <v>41</v>
      </c>
      <c r="G1004" s="2">
        <v>107</v>
      </c>
      <c r="H1004" s="2">
        <v>4387</v>
      </c>
      <c r="I1004" s="1">
        <v>0</v>
      </c>
      <c r="J1004" s="2">
        <v>4387</v>
      </c>
      <c r="K1004" s="1">
        <v>44383</v>
      </c>
      <c r="L1004" s="1">
        <v>44383</v>
      </c>
      <c r="M1004">
        <v>1003</v>
      </c>
      <c r="N1004">
        <v>4</v>
      </c>
      <c r="O1004" t="s">
        <v>18</v>
      </c>
      <c r="P1004" s="3">
        <v>0.09</v>
      </c>
      <c r="Q1004" s="2">
        <v>394.83</v>
      </c>
      <c r="R1004">
        <v>2</v>
      </c>
      <c r="S1004" t="str">
        <f t="shared" si="15"/>
        <v>Junho</v>
      </c>
    </row>
    <row r="1005" spans="1:19" hidden="1" x14ac:dyDescent="0.3">
      <c r="A1005">
        <v>1004</v>
      </c>
      <c r="B1005" s="1">
        <v>44370</v>
      </c>
      <c r="C1005">
        <v>62</v>
      </c>
      <c r="D1005" t="s">
        <v>31</v>
      </c>
      <c r="E1005" t="s">
        <v>104</v>
      </c>
      <c r="F1005">
        <v>20</v>
      </c>
      <c r="G1005" s="2">
        <v>113</v>
      </c>
      <c r="H1005" s="2">
        <v>2260</v>
      </c>
      <c r="I1005" s="1">
        <v>0.05</v>
      </c>
      <c r="J1005" s="2">
        <v>2147</v>
      </c>
      <c r="K1005" s="1">
        <v>44394</v>
      </c>
      <c r="L1005" s="1">
        <v>44394</v>
      </c>
      <c r="M1005">
        <v>1004</v>
      </c>
      <c r="N1005">
        <v>2</v>
      </c>
      <c r="O1005" t="s">
        <v>23</v>
      </c>
      <c r="P1005" s="3">
        <v>0.06</v>
      </c>
      <c r="Q1005" s="2">
        <v>128.82</v>
      </c>
      <c r="R1005">
        <v>3</v>
      </c>
      <c r="S1005" t="str">
        <f t="shared" si="15"/>
        <v>Junho</v>
      </c>
    </row>
    <row r="1006" spans="1:19" hidden="1" x14ac:dyDescent="0.3">
      <c r="A1006">
        <v>1005</v>
      </c>
      <c r="B1006" s="1">
        <v>44371</v>
      </c>
      <c r="C1006">
        <v>48</v>
      </c>
      <c r="D1006" t="s">
        <v>48</v>
      </c>
      <c r="E1006" t="s">
        <v>98</v>
      </c>
      <c r="F1006">
        <v>39</v>
      </c>
      <c r="G1006" s="2">
        <v>105</v>
      </c>
      <c r="H1006" s="2">
        <v>4095</v>
      </c>
      <c r="I1006" s="1">
        <v>0.03</v>
      </c>
      <c r="J1006" s="2">
        <v>3972.15</v>
      </c>
      <c r="K1006" s="1">
        <v>44371</v>
      </c>
      <c r="L1006" s="1">
        <v>44371</v>
      </c>
      <c r="M1006">
        <v>1005</v>
      </c>
      <c r="N1006">
        <v>6</v>
      </c>
      <c r="O1006" t="s">
        <v>25</v>
      </c>
      <c r="P1006" s="3">
        <v>0.1</v>
      </c>
      <c r="Q1006" s="2">
        <v>397.21500000000003</v>
      </c>
      <c r="R1006">
        <v>4</v>
      </c>
      <c r="S1006" t="str">
        <f t="shared" si="15"/>
        <v>Junho</v>
      </c>
    </row>
    <row r="1007" spans="1:19" hidden="1" x14ac:dyDescent="0.3">
      <c r="A1007">
        <v>1006</v>
      </c>
      <c r="B1007" s="1">
        <v>44371</v>
      </c>
      <c r="C1007">
        <v>62</v>
      </c>
      <c r="D1007" t="s">
        <v>31</v>
      </c>
      <c r="E1007" t="s">
        <v>102</v>
      </c>
      <c r="F1007">
        <v>13</v>
      </c>
      <c r="G1007" s="2">
        <v>103</v>
      </c>
      <c r="H1007" s="2">
        <v>1339</v>
      </c>
      <c r="I1007" s="1">
        <v>0.14000000000000001</v>
      </c>
      <c r="J1007" s="2">
        <v>1151.54</v>
      </c>
      <c r="K1007" s="1">
        <v>44397</v>
      </c>
      <c r="L1007" s="1">
        <v>44397</v>
      </c>
      <c r="M1007">
        <v>1006</v>
      </c>
      <c r="N1007">
        <v>6</v>
      </c>
      <c r="O1007" t="s">
        <v>27</v>
      </c>
      <c r="P1007" s="3">
        <v>0.08</v>
      </c>
      <c r="Q1007" s="2">
        <v>92.123199999999997</v>
      </c>
      <c r="R1007">
        <v>5</v>
      </c>
      <c r="S1007" t="str">
        <f t="shared" si="15"/>
        <v>Junho</v>
      </c>
    </row>
    <row r="1008" spans="1:19" hidden="1" x14ac:dyDescent="0.3">
      <c r="A1008">
        <v>1007</v>
      </c>
      <c r="B1008" s="1">
        <v>44373</v>
      </c>
      <c r="C1008">
        <v>70</v>
      </c>
      <c r="D1008" t="s">
        <v>54</v>
      </c>
      <c r="E1008" t="s">
        <v>95</v>
      </c>
      <c r="F1008">
        <v>38</v>
      </c>
      <c r="G1008" s="2">
        <v>117</v>
      </c>
      <c r="H1008" s="2">
        <v>4446</v>
      </c>
      <c r="I1008" s="1">
        <v>0.02</v>
      </c>
      <c r="J1008" s="2">
        <v>4357.08</v>
      </c>
      <c r="K1008" s="1">
        <v>44390</v>
      </c>
      <c r="L1008" s="1">
        <v>44390</v>
      </c>
      <c r="M1008">
        <v>1007</v>
      </c>
      <c r="N1008">
        <v>4</v>
      </c>
      <c r="O1008" t="s">
        <v>30</v>
      </c>
      <c r="P1008" s="3">
        <v>0.05</v>
      </c>
      <c r="Q1008" s="2">
        <v>217.85400000000001</v>
      </c>
      <c r="R1008">
        <v>6</v>
      </c>
      <c r="S1008" t="str">
        <f t="shared" si="15"/>
        <v>Junho</v>
      </c>
    </row>
    <row r="1009" spans="1:19" hidden="1" x14ac:dyDescent="0.3">
      <c r="A1009">
        <v>1008</v>
      </c>
      <c r="B1009" s="1">
        <v>44374</v>
      </c>
      <c r="C1009">
        <v>81</v>
      </c>
      <c r="D1009" t="s">
        <v>90</v>
      </c>
      <c r="E1009" t="s">
        <v>101</v>
      </c>
      <c r="F1009">
        <v>20</v>
      </c>
      <c r="G1009" s="2">
        <v>111</v>
      </c>
      <c r="H1009" s="2">
        <v>2220</v>
      </c>
      <c r="I1009" s="1">
        <v>0.05</v>
      </c>
      <c r="J1009" s="2">
        <v>2109</v>
      </c>
      <c r="K1009" s="1">
        <v>44383</v>
      </c>
      <c r="L1009" s="1">
        <v>44383</v>
      </c>
      <c r="M1009">
        <v>1008</v>
      </c>
      <c r="N1009">
        <v>5</v>
      </c>
      <c r="O1009" t="s">
        <v>56</v>
      </c>
      <c r="P1009" s="3">
        <v>0.05</v>
      </c>
      <c r="Q1009" s="2">
        <v>105.45</v>
      </c>
      <c r="R1009">
        <v>7</v>
      </c>
      <c r="S1009" t="str">
        <f t="shared" si="15"/>
        <v>Junho</v>
      </c>
    </row>
    <row r="1010" spans="1:19" hidden="1" x14ac:dyDescent="0.3">
      <c r="A1010">
        <v>1009</v>
      </c>
      <c r="B1010" s="1">
        <v>44375</v>
      </c>
      <c r="C1010">
        <v>42</v>
      </c>
      <c r="D1010" t="s">
        <v>79</v>
      </c>
      <c r="E1010" t="s">
        <v>104</v>
      </c>
      <c r="F1010">
        <v>48</v>
      </c>
      <c r="G1010" s="2">
        <v>98</v>
      </c>
      <c r="H1010" s="2">
        <v>4704</v>
      </c>
      <c r="I1010" s="1">
        <v>7.0000000000000007E-2</v>
      </c>
      <c r="J1010" s="2">
        <v>4374.72</v>
      </c>
      <c r="K1010" s="1">
        <v>44384</v>
      </c>
      <c r="L1010" s="1">
        <v>44384</v>
      </c>
      <c r="M1010">
        <v>1009</v>
      </c>
      <c r="N1010">
        <v>4</v>
      </c>
      <c r="O1010" t="s">
        <v>30</v>
      </c>
      <c r="P1010" s="3">
        <v>0.1</v>
      </c>
      <c r="Q1010" s="2">
        <v>437.47200000000004</v>
      </c>
      <c r="R1010">
        <v>1</v>
      </c>
      <c r="S1010" t="str">
        <f t="shared" si="15"/>
        <v>Junho</v>
      </c>
    </row>
    <row r="1011" spans="1:19" hidden="1" x14ac:dyDescent="0.3">
      <c r="A1011">
        <v>1010</v>
      </c>
      <c r="B1011" s="1">
        <v>44375</v>
      </c>
      <c r="C1011">
        <v>17</v>
      </c>
      <c r="D1011" t="s">
        <v>54</v>
      </c>
      <c r="E1011" t="s">
        <v>100</v>
      </c>
      <c r="F1011">
        <v>35</v>
      </c>
      <c r="G1011" s="2">
        <v>114</v>
      </c>
      <c r="H1011" s="2">
        <v>3990</v>
      </c>
      <c r="I1011" s="1">
        <v>0.03</v>
      </c>
      <c r="J1011" s="2">
        <v>3870.3</v>
      </c>
      <c r="K1011" s="1">
        <v>44382</v>
      </c>
      <c r="L1011" s="1">
        <v>44382</v>
      </c>
      <c r="M1011">
        <v>1010</v>
      </c>
      <c r="N1011">
        <v>1</v>
      </c>
      <c r="O1011" t="s">
        <v>30</v>
      </c>
      <c r="P1011" s="3">
        <v>0.06</v>
      </c>
      <c r="Q1011" s="2">
        <v>232.21799999999999</v>
      </c>
      <c r="R1011">
        <v>2</v>
      </c>
      <c r="S1011" t="str">
        <f t="shared" si="15"/>
        <v>Junho</v>
      </c>
    </row>
    <row r="1012" spans="1:19" hidden="1" x14ac:dyDescent="0.3">
      <c r="A1012">
        <v>1011</v>
      </c>
      <c r="B1012" s="1">
        <v>44375</v>
      </c>
      <c r="C1012">
        <v>60</v>
      </c>
      <c r="D1012" t="s">
        <v>69</v>
      </c>
      <c r="E1012" t="s">
        <v>97</v>
      </c>
      <c r="F1012">
        <v>45</v>
      </c>
      <c r="G1012" s="2">
        <v>116</v>
      </c>
      <c r="H1012" s="2">
        <v>5220</v>
      </c>
      <c r="I1012" s="1">
        <v>7.0000000000000007E-2</v>
      </c>
      <c r="J1012" s="2">
        <v>4854.6000000000004</v>
      </c>
      <c r="K1012" s="1">
        <v>44400</v>
      </c>
      <c r="L1012" s="1">
        <v>44400</v>
      </c>
      <c r="M1012">
        <v>1011</v>
      </c>
      <c r="N1012">
        <v>6</v>
      </c>
      <c r="O1012" t="s">
        <v>56</v>
      </c>
      <c r="P1012" s="3">
        <v>0.08</v>
      </c>
      <c r="Q1012" s="2">
        <v>388.36800000000005</v>
      </c>
      <c r="R1012">
        <v>3</v>
      </c>
      <c r="S1012" t="str">
        <f t="shared" si="15"/>
        <v>Junho</v>
      </c>
    </row>
    <row r="1013" spans="1:19" hidden="1" x14ac:dyDescent="0.3">
      <c r="A1013">
        <v>1012</v>
      </c>
      <c r="B1013" s="1">
        <v>44376</v>
      </c>
      <c r="C1013">
        <v>35</v>
      </c>
      <c r="D1013" t="s">
        <v>31</v>
      </c>
      <c r="E1013" t="s">
        <v>99</v>
      </c>
      <c r="F1013">
        <v>30</v>
      </c>
      <c r="G1013" s="2">
        <v>114</v>
      </c>
      <c r="H1013" s="2">
        <v>3420</v>
      </c>
      <c r="I1013" s="1">
        <v>0.15</v>
      </c>
      <c r="J1013" s="2">
        <v>2907</v>
      </c>
      <c r="K1013" s="1">
        <v>44400</v>
      </c>
      <c r="L1013" s="1">
        <v>44400</v>
      </c>
      <c r="M1013">
        <v>1012</v>
      </c>
      <c r="N1013">
        <v>4</v>
      </c>
      <c r="O1013" t="s">
        <v>23</v>
      </c>
      <c r="P1013" s="3">
        <v>0.05</v>
      </c>
      <c r="Q1013" s="2">
        <v>145.35</v>
      </c>
      <c r="R1013">
        <v>4</v>
      </c>
      <c r="S1013" t="str">
        <f t="shared" si="15"/>
        <v>Junho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34"/>
  <sheetViews>
    <sheetView workbookViewId="0">
      <selection activeCell="D6" sqref="D6"/>
    </sheetView>
  </sheetViews>
  <sheetFormatPr defaultRowHeight="14.4" x14ac:dyDescent="0.3"/>
  <cols>
    <col min="1" max="1" width="17.21875" customWidth="1"/>
    <col min="2" max="2" width="19.33203125" customWidth="1"/>
    <col min="3" max="3" width="10.44140625" bestFit="1" customWidth="1"/>
    <col min="4" max="4" width="16.88671875" customWidth="1"/>
    <col min="5" max="5" width="13.5546875" customWidth="1"/>
    <col min="6" max="25" width="10.44140625" bestFit="1" customWidth="1"/>
    <col min="26" max="956" width="12" bestFit="1" customWidth="1"/>
    <col min="957" max="957" width="11.33203125" bestFit="1" customWidth="1"/>
  </cols>
  <sheetData>
    <row r="2" spans="1:5" x14ac:dyDescent="0.3">
      <c r="A2">
        <v>1</v>
      </c>
    </row>
    <row r="3" spans="1:5" x14ac:dyDescent="0.3">
      <c r="A3" s="4" t="s">
        <v>106</v>
      </c>
      <c r="B3" t="s">
        <v>120</v>
      </c>
      <c r="D3" t="s">
        <v>120</v>
      </c>
      <c r="E3">
        <v>4</v>
      </c>
    </row>
    <row r="4" spans="1:5" x14ac:dyDescent="0.3">
      <c r="A4" s="5" t="s">
        <v>107</v>
      </c>
      <c r="B4" s="7">
        <v>300308.44000000006</v>
      </c>
      <c r="D4" s="7">
        <v>309174.45</v>
      </c>
    </row>
    <row r="5" spans="1:5" x14ac:dyDescent="0.3">
      <c r="A5" s="5" t="s">
        <v>108</v>
      </c>
      <c r="B5" s="7">
        <v>305617.22999999986</v>
      </c>
    </row>
    <row r="6" spans="1:5" x14ac:dyDescent="0.3">
      <c r="A6" s="5" t="s">
        <v>109</v>
      </c>
      <c r="B6" s="7">
        <v>378545.78</v>
      </c>
      <c r="D6" t="s">
        <v>121</v>
      </c>
      <c r="E6">
        <v>5</v>
      </c>
    </row>
    <row r="7" spans="1:5" x14ac:dyDescent="0.3">
      <c r="A7" s="5" t="s">
        <v>110</v>
      </c>
      <c r="B7" s="7">
        <v>295686.58000000013</v>
      </c>
      <c r="D7" s="8">
        <v>7.5849056603773571E-2</v>
      </c>
    </row>
    <row r="8" spans="1:5" x14ac:dyDescent="0.3">
      <c r="A8" s="5" t="s">
        <v>111</v>
      </c>
      <c r="B8" s="7">
        <v>368532.49000000017</v>
      </c>
    </row>
    <row r="9" spans="1:5" x14ac:dyDescent="0.3">
      <c r="A9" s="5" t="s">
        <v>112</v>
      </c>
      <c r="B9" s="7">
        <v>331506.55999999994</v>
      </c>
      <c r="D9" s="9" t="s">
        <v>122</v>
      </c>
      <c r="E9">
        <v>7</v>
      </c>
    </row>
    <row r="10" spans="1:5" x14ac:dyDescent="0.3">
      <c r="A10" s="5" t="s">
        <v>113</v>
      </c>
      <c r="B10" s="7">
        <v>136091.89000000001</v>
      </c>
      <c r="D10" s="7">
        <v>22963.54250000001</v>
      </c>
    </row>
    <row r="11" spans="1:5" x14ac:dyDescent="0.3">
      <c r="A11" s="5" t="s">
        <v>114</v>
      </c>
      <c r="B11" s="7">
        <v>203928.84</v>
      </c>
    </row>
    <row r="12" spans="1:5" x14ac:dyDescent="0.3">
      <c r="A12" s="5" t="s">
        <v>115</v>
      </c>
      <c r="B12" s="7">
        <v>142342.91999999998</v>
      </c>
      <c r="D12" s="9" t="s">
        <v>123</v>
      </c>
    </row>
    <row r="13" spans="1:5" x14ac:dyDescent="0.3">
      <c r="A13" s="5" t="s">
        <v>116</v>
      </c>
      <c r="B13" s="7">
        <v>160146.56</v>
      </c>
      <c r="D13" s="10">
        <v>3208</v>
      </c>
      <c r="E13">
        <v>2</v>
      </c>
    </row>
    <row r="14" spans="1:5" x14ac:dyDescent="0.3">
      <c r="A14" s="5" t="s">
        <v>117</v>
      </c>
      <c r="B14" s="7">
        <v>146667.71000000002</v>
      </c>
    </row>
    <row r="15" spans="1:5" x14ac:dyDescent="0.3">
      <c r="A15" s="5" t="s">
        <v>118</v>
      </c>
      <c r="B15" s="7">
        <v>175672.33</v>
      </c>
    </row>
    <row r="16" spans="1:5" x14ac:dyDescent="0.3">
      <c r="A16" s="5" t="s">
        <v>119</v>
      </c>
      <c r="B16" s="7">
        <v>2945047.33</v>
      </c>
    </row>
    <row r="18" spans="1:3" x14ac:dyDescent="0.3">
      <c r="A18" s="4" t="s">
        <v>106</v>
      </c>
      <c r="B18" t="s">
        <v>120</v>
      </c>
      <c r="C18">
        <v>3</v>
      </c>
    </row>
    <row r="19" spans="1:3" x14ac:dyDescent="0.3">
      <c r="A19" s="5" t="s">
        <v>97</v>
      </c>
      <c r="B19" s="6">
        <v>361531.02</v>
      </c>
    </row>
    <row r="20" spans="1:3" x14ac:dyDescent="0.3">
      <c r="A20" s="5" t="s">
        <v>101</v>
      </c>
      <c r="B20" s="6">
        <v>181187.03999999995</v>
      </c>
    </row>
    <row r="21" spans="1:3" x14ac:dyDescent="0.3">
      <c r="A21" s="5" t="s">
        <v>95</v>
      </c>
      <c r="B21" s="6">
        <v>419204.03999999986</v>
      </c>
    </row>
    <row r="22" spans="1:3" x14ac:dyDescent="0.3">
      <c r="A22" s="5" t="s">
        <v>96</v>
      </c>
      <c r="B22" s="6">
        <v>399412.58</v>
      </c>
    </row>
    <row r="23" spans="1:3" x14ac:dyDescent="0.3">
      <c r="A23" s="5" t="s">
        <v>102</v>
      </c>
      <c r="B23" s="6">
        <v>157255.49</v>
      </c>
    </row>
    <row r="24" spans="1:3" x14ac:dyDescent="0.3">
      <c r="A24" s="5" t="s">
        <v>99</v>
      </c>
      <c r="B24" s="6">
        <v>395339.79999999987</v>
      </c>
    </row>
    <row r="25" spans="1:3" x14ac:dyDescent="0.3">
      <c r="A25" s="5" t="s">
        <v>104</v>
      </c>
      <c r="B25" s="6">
        <v>227677.44000000006</v>
      </c>
    </row>
    <row r="26" spans="1:3" x14ac:dyDescent="0.3">
      <c r="A26" s="5" t="s">
        <v>103</v>
      </c>
      <c r="B26" s="6">
        <v>248672.75000000006</v>
      </c>
    </row>
    <row r="27" spans="1:3" x14ac:dyDescent="0.3">
      <c r="A27" s="5" t="s">
        <v>98</v>
      </c>
      <c r="B27" s="6">
        <v>381282.59000000008</v>
      </c>
    </row>
    <row r="28" spans="1:3" x14ac:dyDescent="0.3">
      <c r="A28" s="5" t="s">
        <v>100</v>
      </c>
      <c r="B28" s="6">
        <v>173484.58</v>
      </c>
    </row>
    <row r="29" spans="1:3" x14ac:dyDescent="0.3">
      <c r="A29" s="5" t="s">
        <v>119</v>
      </c>
      <c r="B29" s="6">
        <v>2945047.33</v>
      </c>
    </row>
    <row r="31" spans="1:3" x14ac:dyDescent="0.3">
      <c r="A31" s="4" t="s">
        <v>106</v>
      </c>
      <c r="B31" t="s">
        <v>120</v>
      </c>
      <c r="C31">
        <v>8</v>
      </c>
    </row>
    <row r="32" spans="1:3" x14ac:dyDescent="0.3">
      <c r="A32" s="11" t="s">
        <v>124</v>
      </c>
      <c r="B32" s="6">
        <v>1953058.7099999993</v>
      </c>
    </row>
    <row r="33" spans="1:2" x14ac:dyDescent="0.3">
      <c r="A33" s="11" t="s">
        <v>125</v>
      </c>
      <c r="B33" s="6">
        <v>991988.61999999941</v>
      </c>
    </row>
    <row r="34" spans="1:2" x14ac:dyDescent="0.3">
      <c r="A34" s="11" t="s">
        <v>119</v>
      </c>
      <c r="B34" s="6">
        <v>2945047.3299999987</v>
      </c>
    </row>
  </sheetData>
  <pageMargins left="0.511811024" right="0.511811024" top="0.78740157499999996" bottom="0.78740157499999996" header="0.31496062000000002" footer="0.31496062000000002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zoomScaleNormal="100" workbookViewId="0">
      <selection activeCell="A29" sqref="A29"/>
    </sheetView>
  </sheetViews>
  <sheetFormatPr defaultRowHeight="14.4" x14ac:dyDescent="0.3"/>
  <cols>
    <col min="1" max="16384" width="8.88671875" style="12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MPAR_MACROS2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DATABASE</vt:lpstr>
      <vt:lpstr>TABELAS DINÂMICAS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Arthur Ramos</cp:lastModifiedBy>
  <dcterms:created xsi:type="dcterms:W3CDTF">2023-06-28T00:08:17Z</dcterms:created>
  <dcterms:modified xsi:type="dcterms:W3CDTF">2026-03-24T20:44:59Z</dcterms:modified>
</cp:coreProperties>
</file>